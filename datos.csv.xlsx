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grupospira-my.sharepoint.com/personal/melissa_mimbelar_spira_pe/Documents/Escritorio/ProyectoPDI/"/>
    </mc:Choice>
  </mc:AlternateContent>
  <xr:revisionPtr revIDLastSave="70" documentId="13_ncr:1_{2060ED76-BD87-4434-B650-A86C33B561A5}" xr6:coauthVersionLast="47" xr6:coauthVersionMax="47" xr10:uidLastSave="{5BEA620B-30E9-428A-BB67-2E00034A820F}"/>
  <bookViews>
    <workbookView xWindow="-120" yWindow="-120" windowWidth="20730" windowHeight="11040" xr2:uid="{00000000-000D-0000-FFFF-FFFF00000000}"/>
  </bookViews>
  <sheets>
    <sheet name="PDI_CONSOLIDADOS" sheetId="6" r:id="rId1"/>
  </sheets>
  <definedNames>
    <definedName name="_xlnm._FilterDatabase" localSheetId="0" hidden="1">PDI_CONSOLIDADOS!$A$2:$N$379</definedName>
    <definedName name="_xlnm.Print_Area" localSheetId="0">PDI_CONSOLIDADOS!$C$2:$L$3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8" i="6" l="1"/>
  <c r="H237" i="6"/>
  <c r="N46" i="6"/>
  <c r="N45" i="6"/>
  <c r="N44" i="6"/>
  <c r="N238" i="6"/>
  <c r="N237" i="6"/>
  <c r="N236" i="6"/>
  <c r="N235" i="6"/>
  <c r="N234" i="6"/>
  <c r="N233" i="6"/>
  <c r="N232" i="6"/>
  <c r="N231" i="6"/>
  <c r="N173" i="6"/>
  <c r="N172" i="6"/>
  <c r="N171" i="6"/>
  <c r="N170" i="6"/>
  <c r="N169" i="6"/>
  <c r="N168" i="6"/>
  <c r="N167" i="6"/>
  <c r="N166" i="6"/>
  <c r="N165" i="6"/>
  <c r="N160" i="6"/>
  <c r="N159" i="6"/>
  <c r="N158" i="6"/>
  <c r="N140" i="6"/>
  <c r="N139" i="6"/>
  <c r="N138" i="6"/>
  <c r="N137" i="6"/>
  <c r="N136" i="6"/>
  <c r="N135" i="6"/>
  <c r="N96" i="6"/>
  <c r="N95" i="6"/>
  <c r="N94" i="6"/>
  <c r="N93" i="6"/>
  <c r="N92" i="6"/>
  <c r="N91" i="6"/>
  <c r="N90" i="6"/>
  <c r="N89" i="6"/>
  <c r="N88" i="6"/>
  <c r="N77" i="6"/>
  <c r="N76" i="6"/>
  <c r="N75" i="6"/>
  <c r="N74" i="6"/>
  <c r="N73" i="6"/>
  <c r="N72" i="6"/>
  <c r="N71" i="6"/>
  <c r="N70" i="6"/>
  <c r="N69" i="6"/>
  <c r="N68" i="6"/>
  <c r="N67" i="6"/>
  <c r="N66" i="6"/>
  <c r="N65" i="6"/>
  <c r="N58" i="6"/>
  <c r="N57" i="6"/>
  <c r="N56" i="6"/>
  <c r="N55" i="6"/>
  <c r="N54" i="6"/>
  <c r="N53" i="6"/>
  <c r="N52" i="6"/>
  <c r="N51" i="6"/>
  <c r="N50" i="6"/>
  <c r="N49" i="6"/>
  <c r="N48" i="6"/>
  <c r="N47" i="6"/>
  <c r="N43" i="6"/>
  <c r="N42" i="6"/>
  <c r="N41" i="6"/>
  <c r="N40" i="6"/>
  <c r="N39" i="6"/>
  <c r="N38" i="6"/>
  <c r="N37" i="6"/>
  <c r="N36" i="6"/>
  <c r="N87" i="6"/>
  <c r="N86" i="6"/>
  <c r="N85" i="6"/>
  <c r="N84" i="6"/>
  <c r="N33" i="6"/>
  <c r="N32" i="6"/>
  <c r="N31" i="6"/>
  <c r="N8" i="6"/>
  <c r="N7" i="6"/>
  <c r="N6" i="6"/>
  <c r="N5" i="6"/>
  <c r="N4" i="6"/>
  <c r="N3" i="6"/>
  <c r="N242" i="6"/>
  <c r="N241" i="6"/>
  <c r="N240" i="6"/>
  <c r="N239" i="6"/>
  <c r="N271" i="6"/>
  <c r="N270" i="6"/>
  <c r="N269" i="6"/>
  <c r="N268" i="6"/>
  <c r="N267" i="6"/>
  <c r="N266" i="6"/>
  <c r="N265" i="6"/>
  <c r="N196" i="6"/>
  <c r="N195" i="6"/>
  <c r="N194" i="6"/>
  <c r="N193" i="6"/>
  <c r="N192" i="6"/>
  <c r="M46" i="6"/>
  <c r="M45" i="6"/>
  <c r="M44" i="6"/>
  <c r="M162" i="6"/>
  <c r="M161" i="6"/>
  <c r="M164" i="6"/>
  <c r="M163" i="6"/>
  <c r="M292" i="6"/>
  <c r="M236" i="6"/>
  <c r="M235" i="6"/>
  <c r="M234" i="6"/>
  <c r="M233" i="6"/>
  <c r="M232" i="6"/>
  <c r="M231" i="6"/>
  <c r="M226" i="6"/>
  <c r="M225" i="6"/>
  <c r="M224" i="6"/>
  <c r="M223" i="6"/>
  <c r="M222" i="6"/>
  <c r="M221" i="6"/>
  <c r="M220" i="6"/>
  <c r="M215" i="6"/>
  <c r="M214" i="6"/>
  <c r="M213" i="6"/>
  <c r="M212" i="6"/>
  <c r="M191" i="6"/>
  <c r="M190" i="6"/>
  <c r="M189" i="6"/>
  <c r="M188" i="6"/>
  <c r="M187" i="6"/>
  <c r="M186" i="6"/>
  <c r="M185" i="6"/>
  <c r="M184" i="6"/>
  <c r="M183" i="6"/>
  <c r="M182" i="6"/>
  <c r="M173" i="6"/>
  <c r="M172" i="6"/>
  <c r="M171" i="6"/>
  <c r="M170" i="6"/>
  <c r="M169" i="6"/>
  <c r="M168" i="6"/>
  <c r="M167" i="6"/>
  <c r="M166" i="6"/>
  <c r="M165" i="6"/>
  <c r="M160" i="6"/>
  <c r="M159" i="6"/>
  <c r="M158" i="6"/>
  <c r="M157" i="6"/>
  <c r="M156" i="6"/>
  <c r="M155" i="6"/>
  <c r="M154" i="6"/>
  <c r="M140" i="6"/>
  <c r="M139" i="6"/>
  <c r="M138" i="6"/>
  <c r="M137" i="6"/>
  <c r="M136" i="6"/>
  <c r="M135" i="6"/>
  <c r="M111" i="6"/>
  <c r="M110" i="6"/>
  <c r="M109" i="6"/>
  <c r="M108" i="6"/>
  <c r="M107" i="6"/>
  <c r="M106" i="6"/>
  <c r="M105" i="6"/>
  <c r="M104" i="6"/>
  <c r="M103" i="6"/>
  <c r="M102" i="6"/>
  <c r="M101" i="6"/>
  <c r="M100" i="6"/>
  <c r="M99" i="6"/>
  <c r="M98" i="6"/>
  <c r="M97" i="6"/>
  <c r="M96" i="6"/>
  <c r="M95" i="6"/>
  <c r="M94" i="6"/>
  <c r="M93" i="6"/>
  <c r="M92" i="6"/>
  <c r="M91" i="6"/>
  <c r="M90" i="6"/>
  <c r="M89" i="6"/>
  <c r="M88" i="6"/>
  <c r="M77" i="6"/>
  <c r="M76" i="6"/>
  <c r="M75" i="6"/>
  <c r="M74" i="6"/>
  <c r="M73" i="6"/>
  <c r="M72" i="6"/>
  <c r="M71" i="6"/>
  <c r="M70" i="6"/>
  <c r="M69" i="6"/>
  <c r="M68" i="6"/>
  <c r="M67" i="6"/>
  <c r="M66" i="6"/>
  <c r="M65" i="6"/>
  <c r="M58" i="6"/>
  <c r="M57" i="6"/>
  <c r="M56" i="6"/>
  <c r="M55" i="6"/>
  <c r="M54" i="6"/>
  <c r="M53" i="6"/>
  <c r="M52" i="6"/>
  <c r="M51" i="6"/>
  <c r="M50" i="6"/>
  <c r="M49" i="6"/>
  <c r="M48" i="6"/>
  <c r="M47" i="6"/>
  <c r="M35" i="6"/>
  <c r="M34" i="6"/>
  <c r="M145" i="6"/>
  <c r="M144" i="6"/>
  <c r="M143" i="6"/>
  <c r="M142" i="6"/>
  <c r="M141" i="6"/>
  <c r="M43" i="6"/>
  <c r="M42" i="6"/>
  <c r="M41" i="6"/>
  <c r="M40" i="6"/>
  <c r="M39" i="6"/>
  <c r="M38" i="6"/>
  <c r="M37" i="6"/>
  <c r="M36" i="6"/>
  <c r="M291" i="6"/>
  <c r="M290" i="6"/>
  <c r="M289" i="6"/>
  <c r="M288" i="6"/>
  <c r="M287" i="6"/>
  <c r="M286" i="6"/>
  <c r="M285" i="6"/>
  <c r="M277" i="6"/>
  <c r="M276" i="6"/>
  <c r="M275" i="6"/>
  <c r="M274" i="6"/>
  <c r="M273" i="6"/>
  <c r="M272" i="6"/>
  <c r="M16" i="6"/>
  <c r="M15" i="6"/>
  <c r="M14" i="6"/>
  <c r="M13" i="6"/>
  <c r="M12" i="6"/>
  <c r="M11" i="6"/>
  <c r="M10" i="6"/>
  <c r="M9" i="6"/>
  <c r="M204" i="6"/>
  <c r="M203" i="6"/>
  <c r="M202" i="6"/>
  <c r="M201" i="6"/>
  <c r="M181" i="6"/>
  <c r="M180" i="6"/>
  <c r="M179" i="6"/>
  <c r="M178" i="6"/>
  <c r="M177" i="6"/>
  <c r="M176" i="6"/>
  <c r="M175" i="6"/>
  <c r="M174" i="6"/>
  <c r="M87" i="6"/>
  <c r="M86" i="6"/>
  <c r="M85" i="6"/>
  <c r="M84" i="6"/>
  <c r="M83" i="6"/>
  <c r="M82" i="6"/>
  <c r="M81" i="6"/>
  <c r="M80" i="6"/>
  <c r="M79" i="6"/>
  <c r="M78" i="6"/>
  <c r="M33" i="6"/>
  <c r="M32" i="6"/>
  <c r="M31" i="6"/>
  <c r="M30" i="6"/>
  <c r="M29" i="6"/>
  <c r="M28" i="6"/>
  <c r="M27" i="6"/>
  <c r="M26" i="6"/>
  <c r="M25" i="6"/>
  <c r="M24" i="6"/>
  <c r="M23" i="6"/>
  <c r="M22" i="6"/>
  <c r="M21" i="6"/>
  <c r="M20" i="6"/>
  <c r="M19" i="6"/>
  <c r="M18" i="6"/>
  <c r="M17" i="6"/>
  <c r="M8" i="6"/>
  <c r="M7" i="6"/>
  <c r="M6" i="6"/>
  <c r="M5" i="6"/>
  <c r="M4" i="6"/>
  <c r="M3" i="6"/>
  <c r="M264" i="6"/>
  <c r="M263" i="6"/>
  <c r="M262" i="6"/>
  <c r="M261" i="6"/>
  <c r="M260" i="6"/>
  <c r="M259" i="6"/>
  <c r="M258" i="6"/>
  <c r="M242" i="6"/>
  <c r="M241" i="6"/>
  <c r="M240" i="6"/>
  <c r="M239" i="6"/>
  <c r="M271" i="6"/>
  <c r="M270" i="6"/>
  <c r="M269" i="6"/>
  <c r="M268" i="6"/>
  <c r="M267" i="6"/>
  <c r="M266" i="6"/>
  <c r="M265" i="6"/>
  <c r="M129" i="6"/>
  <c r="M128" i="6"/>
  <c r="M127" i="6"/>
  <c r="M126" i="6"/>
  <c r="M125" i="6"/>
  <c r="M124" i="6"/>
  <c r="M120" i="6"/>
  <c r="M119" i="6"/>
  <c r="M118" i="6"/>
  <c r="M200" i="6"/>
  <c r="M199" i="6"/>
  <c r="M198" i="6"/>
  <c r="M197" i="6"/>
  <c r="M211" i="6"/>
  <c r="M210" i="6"/>
  <c r="M209" i="6"/>
  <c r="M208" i="6"/>
  <c r="M207" i="6"/>
  <c r="M206" i="6"/>
  <c r="M205" i="6"/>
  <c r="M230" i="6"/>
  <c r="M229" i="6"/>
  <c r="M227" i="6"/>
  <c r="M228" i="6"/>
  <c r="M123" i="6"/>
  <c r="M121" i="6"/>
  <c r="M122" i="6"/>
  <c r="M64" i="6"/>
  <c r="M62" i="6"/>
  <c r="M63" i="6"/>
  <c r="M61" i="6"/>
  <c r="M60" i="6"/>
  <c r="M59" i="6"/>
  <c r="M217" i="6"/>
  <c r="M219" i="6"/>
  <c r="M216" i="6"/>
  <c r="M218" i="6"/>
  <c r="M196" i="6"/>
  <c r="M195" i="6"/>
  <c r="M194" i="6"/>
  <c r="M193" i="6"/>
  <c r="M192" i="6"/>
  <c r="M134" i="6"/>
  <c r="M133" i="6"/>
  <c r="M131" i="6"/>
  <c r="M132" i="6"/>
  <c r="M130" i="6"/>
  <c r="M150" i="6"/>
  <c r="M149" i="6"/>
  <c r="M148" i="6"/>
  <c r="M147" i="6"/>
  <c r="M146" i="6"/>
  <c r="M117" i="6"/>
  <c r="M116" i="6"/>
  <c r="M115" i="6"/>
  <c r="M112" i="6"/>
  <c r="M114" i="6"/>
  <c r="M113" i="6"/>
  <c r="M284" i="6"/>
  <c r="M283" i="6"/>
  <c r="M282" i="6"/>
  <c r="M281" i="6"/>
  <c r="M278" i="6"/>
  <c r="M280" i="6"/>
  <c r="M279" i="6"/>
  <c r="M247" i="6"/>
  <c r="M250" i="6"/>
  <c r="M249" i="6"/>
  <c r="M248" i="6"/>
  <c r="M245" i="6"/>
  <c r="M244" i="6"/>
  <c r="M243" i="6"/>
  <c r="M246" i="6"/>
  <c r="M151" i="6"/>
  <c r="M153" i="6"/>
  <c r="M152" i="6"/>
  <c r="M257" i="6"/>
  <c r="M256" i="6"/>
  <c r="M252" i="6"/>
  <c r="M255" i="6"/>
  <c r="M254" i="6"/>
  <c r="M253" i="6"/>
  <c r="M251" i="6"/>
  <c r="M238" i="6" l="1"/>
  <c r="M237" i="6"/>
</calcChain>
</file>

<file path=xl/sharedStrings.xml><?xml version="1.0" encoding="utf-8"?>
<sst xmlns="http://schemas.openxmlformats.org/spreadsheetml/2006/main" count="4379" uniqueCount="779">
  <si>
    <t>CONSULTORA</t>
  </si>
  <si>
    <t>MENTEE</t>
  </si>
  <si>
    <t>HABILIDAD A DESARROLLAR</t>
  </si>
  <si>
    <t>ACCION</t>
  </si>
  <si>
    <t>RECURSO</t>
  </si>
  <si>
    <t>TIPO DE ACCIÓN</t>
  </si>
  <si>
    <t>SUBTIPO DE ACCIÓN</t>
  </si>
  <si>
    <t>LÍDER MENTOR</t>
  </si>
  <si>
    <t>CRITICIDAD</t>
  </si>
  <si>
    <t>MEDICIÓN</t>
  </si>
  <si>
    <t>OBSERVACIONES</t>
  </si>
  <si>
    <t>MELISSA MIMBELA</t>
  </si>
  <si>
    <t>ORTECHO DURAN ROBERT HEYSON</t>
  </si>
  <si>
    <t xml:space="preserve">Resolución de conflictos </t>
  </si>
  <si>
    <t>a. Cómo ganar amigos e influir sobre las personas — Dale Carnegie</t>
  </si>
  <si>
    <t>Presupuesto para bibliografía</t>
  </si>
  <si>
    <t>10% Formación Formal</t>
  </si>
  <si>
    <t xml:space="preserve"> Entrenamiento formal</t>
  </si>
  <si>
    <t>Abel Campos</t>
  </si>
  <si>
    <t>2. Criticidad moderada</t>
  </si>
  <si>
    <t>FRECUENCIA</t>
  </si>
  <si>
    <t>Trimestral</t>
  </si>
  <si>
    <t>Pensamiento estrategico</t>
  </si>
  <si>
    <t>c. Hablar en público – Chris Anderson (TED)</t>
  </si>
  <si>
    <t>QUINTANA OCHOA EMILIO DANIEL</t>
  </si>
  <si>
    <t xml:space="preserve">Pensamiento estratégico </t>
  </si>
  <si>
    <t>Santiago Ramirez</t>
  </si>
  <si>
    <t>Única</t>
  </si>
  <si>
    <t>SEMINARIO PACHECO ROBERTO</t>
  </si>
  <si>
    <t>Resolución de conflictos</t>
  </si>
  <si>
    <t>1. Líderar reuniones con clientes internos en reuniones trimestrales para asegurar, necesidades, plan de acción y cumplimiento del mismo.</t>
  </si>
  <si>
    <t>Supervisión, acompañamiento y soporte por parte de la jefatura</t>
  </si>
  <si>
    <t>70% Experiencia Practica</t>
  </si>
  <si>
    <t>Proyectos/desafíos reales y tareas con responsabilidad</t>
  </si>
  <si>
    <t>Kevin Maraví</t>
  </si>
  <si>
    <t>Gestión del cambio</t>
  </si>
  <si>
    <t>1. Leer (Bibliografía), hacer resumen y acta de compromisos:
a. Liderando el cambio – John P. Kotter
b. ¿Quién se ha llevado mi queso? – Spencer Johnson
c. La agilidad emocional – Susan David</t>
  </si>
  <si>
    <t>Revisión bibliográfica</t>
  </si>
  <si>
    <t>20% Mentoría y Retroalimentación</t>
  </si>
  <si>
    <t>Lectura de Libros o material estructurado</t>
  </si>
  <si>
    <t>2. Líderar reuniones trimestrales con clientes externos de manera mensual, para asegurar el cumplimiento de los acuerdos.</t>
  </si>
  <si>
    <t>Pensamiento estratégico</t>
  </si>
  <si>
    <t>1. Participar e involucrarse, en la elaboración de presupuesto OPEX 2026.</t>
  </si>
  <si>
    <t>2. Liderar la participación de un proyecto CAPEX 2026. (En evaluación que proyecto)</t>
  </si>
  <si>
    <t>Tiempo real asignado para el aprendizaje</t>
  </si>
  <si>
    <t>2. Identificar brechas y oportunidades en funciones operativas y presentarlas mediante un informe documentado.</t>
  </si>
  <si>
    <t>JACINTO LIVIA MARCO ANTONIO</t>
  </si>
  <si>
    <t>Relacionamiento</t>
  </si>
  <si>
    <t>1. Revisar bibliografía, realizar un resumen y compromisos a partir de la misma. 
A. Cómo ganar amigos e influir sobre las personas – Dale Carnegie
b. Inteligencia Social – Daniel Goleman
c. El arte de la persuasión – Jay Heinrichs</t>
  </si>
  <si>
    <t>Edwin Fernandez</t>
  </si>
  <si>
    <t xml:space="preserve">3. Generar plan de acción para disminuir la brecha en las oportunidades identificadas. </t>
  </si>
  <si>
    <t>ROSAS RONDON KEVIN JORDAN</t>
  </si>
  <si>
    <t>Conocimiento del negocio (Procesos mineros)</t>
  </si>
  <si>
    <t>2. Llevar curso: Metalurgia para no metalurgistas (ENGINZONE)</t>
  </si>
  <si>
    <t>Presupuesto para estudios</t>
  </si>
  <si>
    <t>Martha Reyes</t>
  </si>
  <si>
    <t>3. Llevar curso: Costeo de operaciones mineras. (ESAN)</t>
  </si>
  <si>
    <t>1. Llevar el curso de: Metalurgia para no metalurgistas (ENGINZONE)</t>
  </si>
  <si>
    <t>Bimensual</t>
  </si>
  <si>
    <t>Empoderamiento</t>
  </si>
  <si>
    <t>1. Liderazgo de proyectos: (Relave, sostenibilidad) Responsable desde la apertura del cierre. (Jefe debe asignar el proyecto)</t>
  </si>
  <si>
    <t>Trimetral</t>
  </si>
  <si>
    <t>Toma de deciciones.</t>
  </si>
  <si>
    <t>1. En desarrollo de planta piloto de filtración de relaves. Liderar el precomisionamiento, para el cierre de esta etapa (Enfocado en su especialidad: Electrica) y presentar un informe con tiempo, costo y calidad.</t>
  </si>
  <si>
    <t>1. Realizar visitas a campo programadas, y entregar un reporte de hallazgos y oportunidades de optimización y de la reunión con usuario interno.</t>
  </si>
  <si>
    <t>Mensual</t>
  </si>
  <si>
    <t>Negociación</t>
  </si>
  <si>
    <t>3. Leer bibliografía: 
a. Obtenga el sí – Roger Fisher, William Ury, Bruce Patton
b. Cómo ganar amigos e influir sobre las personas – Dale Carnegie
c. Conversaciones Cruciales – Patterson, Grenny, McMillan &amp; Al Switzler</t>
  </si>
  <si>
    <t>2. Reuniones con los usuarios y seguimiento de pendientes</t>
  </si>
  <si>
    <t>1. Participar como representante del área de presupuesto en reuniones de negociación con operaciones y administración, defendiendo metas y generando acuerdos win-win.</t>
  </si>
  <si>
    <t>VENTOSILLA AVILA MOISES MIGUEL</t>
  </si>
  <si>
    <t>3. Leer bibliografía: 
Como mandar bien - Manolo Álcazar.
Conversaciones Cruciales – Patterson, Grenny, McMillan &amp; Al Switzler</t>
  </si>
  <si>
    <t>Carlos Yataco</t>
  </si>
  <si>
    <t>2. Documentar acuerdos y realizar seguimiento.</t>
  </si>
  <si>
    <t>1. Desarrollo de barrera antipolvo hasta fines de noviembre, con el sistema operando al 100%.</t>
  </si>
  <si>
    <t>Unica</t>
  </si>
  <si>
    <t>2. Elaborar informe de ejecución de proyecto y exponerlo ante su equipo.</t>
  </si>
  <si>
    <t>Comunicación efectiva</t>
  </si>
  <si>
    <t>1. Dictar reuniones del estandar de gestión de la prevención de la seguridad con la gerencia, para con los contratistas y sus pares.</t>
  </si>
  <si>
    <t>Pensamiento crítico</t>
  </si>
  <si>
    <t>1. Realizar un análisis de oportunidades de aprendizaje del proyecto de barrera de antipolvo.</t>
  </si>
  <si>
    <t>2. En herramienta A3: presentar informe de como se planificó vs que sucedió en la ejecución.</t>
  </si>
  <si>
    <t>FAILOC BALLON JOSE ESTEBAN</t>
  </si>
  <si>
    <t>1. Reforzar y ampliar conocimiento técnicos: Que reciba un cursos de capacitación sobre conocimiento de equipo y manejo de proyectos. Curso: Familiariación de equipos principales en minería y PMP.</t>
  </si>
  <si>
    <t>Robert Ortecho</t>
  </si>
  <si>
    <t xml:space="preserve">Quincenal </t>
  </si>
  <si>
    <t>3. Identificar causas raíz y proponer acciones preventivas o de mejoray presentar conclusiones y recomendaciones al equipo.</t>
  </si>
  <si>
    <t>Liderazgo</t>
  </si>
  <si>
    <t>1. Asignación de KPI'S orientado a disponibilidad del taller mecánico.</t>
  </si>
  <si>
    <t>2. Presentación de toda la flota a la superintendencia de mantenimiento y operaciones. (Disponibilidad de los equipos, basado en los mantenimientos planificados)</t>
  </si>
  <si>
    <t>ISLA BAZAN PIERO FERNANDO.</t>
  </si>
  <si>
    <t>Inteligencia emocional</t>
  </si>
  <si>
    <t>1. Leer bibliografía recomendada: El camino del despertar, o La inteligencia emocional. Generar un resumen del libro elegido y un acta de acuerdos.</t>
  </si>
  <si>
    <t>José Jimenéz</t>
  </si>
  <si>
    <t>Semanal</t>
  </si>
  <si>
    <t>2. Asignar proyecto en donde se genere la elaboración de un nuevo desarrollo con ciertas áreas especificas: Desarrollar un drive, en donde se pueda observar: la información precisa y actualizada para el desarrollo de los planes de mantenimiento. Esto mediante reuniones con otras áreas, para que todos estén involucrados en la alimentación y disponibilidad de la data, con frecuencia de actualización.</t>
  </si>
  <si>
    <t>3. Sostenimiento: Que el proyecto desarrollado sea sistenible en el tiempo, medición mediantes revisiones periodicas.</t>
  </si>
  <si>
    <t>Pensamiento estratégico.</t>
  </si>
  <si>
    <t>1. Elaboración de presupuesto, seguimiento y aprobación del mismo de su flota.</t>
  </si>
  <si>
    <t xml:space="preserve">2. Tener reuniones semanales con contratista SKF, y ver el cumplimiento del plan semanal de trabajo. </t>
  </si>
  <si>
    <t>GOMEZ PORRAS JHON KENNEDY</t>
  </si>
  <si>
    <t>1. Sugerencia bibliográfica: “Inteligencia Emocional” de Daniel Goleman,  y elaborar un informe de reflexión con los principales aprendizajes y un acta de compromisos personales.</t>
  </si>
  <si>
    <t>Segundo Sanchez</t>
  </si>
  <si>
    <t>1. Proyecto de mejora. (Pendiente de asignación</t>
  </si>
  <si>
    <t>Escucha activa</t>
  </si>
  <si>
    <t>1. Que lleve un curso sobre escucha activa y lo replique con su equipo generando acuerdo y compromisos.</t>
  </si>
  <si>
    <t>2. Liderazgo de reuniones con otras áreas, para reportería semanal.</t>
  </si>
  <si>
    <t>1. Reuniones con áreas involucradas en proyecto de mejora.</t>
  </si>
  <si>
    <t>MENDOZA CAMILLA ROBERT NELSON</t>
  </si>
  <si>
    <t xml:space="preserve">Comunicación efectiva </t>
  </si>
  <si>
    <t>1.  Bibliografía sugerida, con resumen y acta de compromisos:
a. Cómo ganar amigos e influir sobre las personas — Dale Carnegie
b. Conversaciones Cruciales — Patterson, Grenny, McMillan &amp; Al Switzler
c. Hablar en público – Chris Anderson (TED)</t>
  </si>
  <si>
    <t>Mario Poma</t>
  </si>
  <si>
    <t>1. Puesto critico</t>
  </si>
  <si>
    <t>Quincenal</t>
  </si>
  <si>
    <t>2. Liderar procesos de respuesta con usuarios internos. Aplicando una encuesta de satisfacción inicial y luego de 3 meses para medir la satisfacción del área.</t>
  </si>
  <si>
    <t>Gestión de proyectos</t>
  </si>
  <si>
    <t>1. Estar presente hasta la finalización de las tareas críticas.</t>
  </si>
  <si>
    <t xml:space="preserve">2. Crear reportes por cada trabajo. </t>
  </si>
  <si>
    <t xml:space="preserve">2. Líderar reuniones con empresas de servicios o consultoras de manera efectiva para seguimiento de resultado. </t>
  </si>
  <si>
    <t xml:space="preserve">1. Reuniones con sus clientes internos para asegurar, que se cumplan las recomendaciones y dentro del procesos de resolución de conflictos llegar acuerdos para que clientes adopten la posición técnica. </t>
  </si>
  <si>
    <t>Toma de decisiones</t>
  </si>
  <si>
    <t>1. Cuidado de relavera antigua cercana a la operación minera (Garantizar la estabilidad fisica)</t>
  </si>
  <si>
    <t xml:space="preserve">2. Emisión de recomendaciones técnicas, implementación, seguimiento y monitoreo de actividades con estabilidad física. </t>
  </si>
  <si>
    <t>b. Conversaciones Cruciales — Patterson, Grenny, McMillan &amp; Al Switzler</t>
  </si>
  <si>
    <t>CARRILLO ARELLANO CRISTOBAL</t>
  </si>
  <si>
    <t>1. Manejo de kpi's: Descargar aplicación en su movil para que se realice seguimiento diario.</t>
  </si>
  <si>
    <t>Mario Ramos</t>
  </si>
  <si>
    <t>diaria</t>
  </si>
  <si>
    <t>2. Realizar seguimiento y asegurar cumplimiento de meta de 80% de utilización de camiones o informar desvios en el cumplimiento de la meta.</t>
  </si>
  <si>
    <t>3. Asegurar el relevo en el uso de camionetas y minibuses en el personal que opera camión durante cambios de turno y relevos dentro de la misma guardía.</t>
  </si>
  <si>
    <t xml:space="preserve">Proactividad </t>
  </si>
  <si>
    <t>1. Liderar traslado de palas. Considerando todos los escenarios y coordinación con áreas involucradas para el éxito de las mismas.</t>
  </si>
  <si>
    <t xml:space="preserve">2. Desarrollar la capacidad de toma de decisiones objetivas para aprobar días extras, asegurando que únicamente accedan al beneficio los colaboradores que hayan cumplido su guardia regular completa. Esto incluye aplicar criterios transparentes, verificar asistencia previa y comunicar las decisiones de manera asertiva y fundamentada. </t>
  </si>
  <si>
    <t>GAMARRA HUAMBO JULIO SAUL</t>
  </si>
  <si>
    <t>Renato Martínez</t>
  </si>
  <si>
    <t>1. Asumir líderazgo de proyecto de la migración de las redes Hirschman</t>
  </si>
  <si>
    <t>Anual</t>
  </si>
  <si>
    <t xml:space="preserve">1. Liderar implementación de alcances de proyectos para mitad de año del 2026. (Proyectos que ingresan a mitad de año en función de presupuesto disponible) </t>
  </si>
  <si>
    <t>Sugerencia bibliográfica, con resumen y acta de compromisos: a. Conversaciones Cruciales — Patterson, Grenny, McMillan &amp; Al Switzler</t>
  </si>
  <si>
    <t>Semanal / Por proyecto aprobado a su cargo</t>
  </si>
  <si>
    <t>Presentar resumen y acta de compromisos. c. Hablar en público – Chris Anderson (TED)</t>
  </si>
  <si>
    <t>NILTON ZURITA</t>
  </si>
  <si>
    <t>Delegación efectiva</t>
  </si>
  <si>
    <t>1. Liderar el proceso de que los operadores entreguen las planillas necesarias y entregar un informe.</t>
  </si>
  <si>
    <t>David Candacho</t>
  </si>
  <si>
    <t xml:space="preserve">2. Enseñarles a los operadores para esto como se debe hacer la entrega. </t>
  </si>
  <si>
    <t>2. Brindar soporte al área de mantenimiento de subestaciones, Presentar evidencias como IPERC, ordenes de trabajo y demas. (acompañamiento a actividad programada)</t>
  </si>
  <si>
    <t>1. Conocer la estructura de la empresa y todas las áreas involucradas en su proceso.</t>
  </si>
  <si>
    <t>Procedimientos, instructivos, manuales, políticas</t>
  </si>
  <si>
    <t>2. Realizar análisis de como cada área suma para resultados sostenibles dentro de la empresa.</t>
  </si>
  <si>
    <t xml:space="preserve">3. Presentar el análisis del proyecto de pozos sépticos. </t>
  </si>
  <si>
    <t>MONTOYA ROJAS JONATHAN ENRIQUE</t>
  </si>
  <si>
    <t>Pedro Jimenez</t>
  </si>
  <si>
    <t>Manejo de idiomas</t>
  </si>
  <si>
    <t>1. Para el proyecto ''Molinos'' realizar informes de avance de manera mensual en inglés.</t>
  </si>
  <si>
    <t>2. Asumir liderazgo de presentaciones en inglés que puedan surgir para su posición.</t>
  </si>
  <si>
    <t>1. Presentación de reporte de tareas del equipo a cargo, elaborado por ellos mismo.</t>
  </si>
  <si>
    <t>FAJARDO BEDOYA RICHARD</t>
  </si>
  <si>
    <t>Julio Valdeos</t>
  </si>
  <si>
    <t>3. No es crítico</t>
  </si>
  <si>
    <t>Trabajo en equipo</t>
  </si>
  <si>
    <t>1. Curso de liderazgo transaccional.</t>
  </si>
  <si>
    <t>1. Asegurar éxito del proyecto de riesgo crítico número 7: Con entrega de ejecución del bow tie</t>
  </si>
  <si>
    <t>GARAY HUALLPA ARTURO ALDO</t>
  </si>
  <si>
    <t>Gestión del tiempo</t>
  </si>
  <si>
    <t>1. Ejecución del plan semanal, en donde se cumplan con horarios de trabajo establecidos. (Máx 11 pm.) Debe empezar, a trabajar con el software desde medio día hasta las 3 pm y plantillas de excel.</t>
  </si>
  <si>
    <t>Yuri Ramirez</t>
  </si>
  <si>
    <t>2. Análisis de informes con reporte completo y listo para exportar en el software.</t>
  </si>
  <si>
    <t>1. Asignación de plantilla al equipo que él lidera.</t>
  </si>
  <si>
    <t>2. Capacitar y asignar responsabilidad del modelo de stocks y dar conformidad del mismo. (Practicante).</t>
  </si>
  <si>
    <t>1. Implementar nueva versión del software de planeamiento para registrar plan diario, semanal y visualizar el plan mensual.</t>
  </si>
  <si>
    <t>Herramientas y plataformas</t>
  </si>
  <si>
    <t>2. Estructurar el software para la nueva clasificación de minerales del 2026.</t>
  </si>
  <si>
    <t>TORO PONCE JUAN JOSE</t>
  </si>
  <si>
    <t>1. Participar en comisión de negociaciones colectivas, y mantener la negociación dentro de los parametros establecidos por el área.</t>
  </si>
  <si>
    <t xml:space="preserve">Jorge García </t>
  </si>
  <si>
    <t>2. Elaborar reporte de acuerdos alcanzados y negociaciones.</t>
  </si>
  <si>
    <t>1. Identificar actividades para delegar a los asistentes.</t>
  </si>
  <si>
    <t>2. Capacitar a los asistentes.</t>
  </si>
  <si>
    <t>3 Asignar acciones o actividades según delegación.</t>
  </si>
  <si>
    <t>Planificación</t>
  </si>
  <si>
    <t>1. Planificar objetivos del año. (Enero y Febrero).</t>
  </si>
  <si>
    <t>2. Reuniones trimestrales con líder directo para presentar, avances, planes de acción y acciones correctivas para asegurar cumplimiento de los objetivos.</t>
  </si>
  <si>
    <t xml:space="preserve">ROJAS ROJAS JESUS </t>
  </si>
  <si>
    <t>Inglés</t>
  </si>
  <si>
    <t>1. Curso de inglés.</t>
  </si>
  <si>
    <t>Jorge Portocarrero</t>
  </si>
  <si>
    <t>Conocimiento De Procesos ciberseguridad</t>
  </si>
  <si>
    <t>1. Hacer auditoria a procesos actuales de ciberseguridad (política). Revisión al NIST.</t>
  </si>
  <si>
    <t>2. Presentar 2 informes, uno de políticas y otro sobre NIST.</t>
  </si>
  <si>
    <t>única</t>
  </si>
  <si>
    <t>1- Líderar reuniones con clientes internos en reuniones trimestrales para asegurar, necesidades, plan de acción y cumplimiento del mismo.</t>
  </si>
  <si>
    <t>2. Identificar brechas y oportunidades en funciones operativas.</t>
  </si>
  <si>
    <t>Acasiete Acevedo José Antonio</t>
  </si>
  <si>
    <t xml:space="preserve">1. Analizar la estrategia de mantenimiento actual de los equipos móviles y estacionarios de la compañía a más tardar a finales de octubre, con esto tener lineamientos por flota y estructura de la compañía. </t>
  </si>
  <si>
    <t>Tiempo formal asignado para mentoring</t>
  </si>
  <si>
    <t>Mentoring</t>
  </si>
  <si>
    <t>Roberto Soto 
Miranda</t>
  </si>
  <si>
    <t>1 vez a la semana</t>
  </si>
  <si>
    <t>2. Cuestionamiento y análisis del cambio de la situación actual del proceso de mantenimiento de los activos moviles y estacionarios.</t>
  </si>
  <si>
    <t>3. Actualización de políticas y procedimiento involucrados con activos fijos y mantenimiento. (Involucramiento con áreas usuarias.)</t>
  </si>
  <si>
    <t>1. Tener reuniones con áreas usuarias de procedimiento.</t>
  </si>
  <si>
    <t>2. Generar presentaciones semanales de avance.</t>
  </si>
  <si>
    <t>3. Generar hábilidades de persuación para obtener el acompañamiento de áreas o personas involucradas para el éxito del proyecto, y presentar compromisos post lectura.</t>
  </si>
  <si>
    <t>ARMAS VENTURA JOSE JAVIER</t>
  </si>
  <si>
    <t xml:space="preserve">1. Reasignación de área (Mantenimiento Mina, cambio de área y usuario de atención). </t>
  </si>
  <si>
    <t>Luis Osorio</t>
  </si>
  <si>
    <t>1 año</t>
  </si>
  <si>
    <t xml:space="preserve">2.  Cumplir con los KPI'S del área. Generar ahorro. Presentación mensual de estatus, y medición de servicios. (85% a 90% de cumplimiento) </t>
  </si>
  <si>
    <t>Proactividad</t>
  </si>
  <si>
    <t>1. Plan de trabajo de nueva área asignada.</t>
  </si>
  <si>
    <t xml:space="preserve">Semestral </t>
  </si>
  <si>
    <t>2. Reuniones con áreas usuarias y encargados de planeamiento, para medir expectativas, oportunidades y alinear plan de trabajo.</t>
  </si>
  <si>
    <t xml:space="preserve">3. Implementar medición de satisfacción de pares y clientes internos cada 6 seis meses. </t>
  </si>
  <si>
    <t>Toma de decisiones bajo presión</t>
  </si>
  <si>
    <t>1- Utilizar herramienta de organización (Matriz eisenhour, para priorización de actividades) y socializarla con su líder para recibir feedback al respecto.</t>
  </si>
  <si>
    <t>2. Preparar un informe de lecciones aprendidas para tener claro las decisiones futuras, y agilizar la toma de decisiones.</t>
  </si>
  <si>
    <t>Atoche Gálvez Dalía Alejandra</t>
  </si>
  <si>
    <t>Sentido de urgencia</t>
  </si>
  <si>
    <t>1. Elaborar la planificación del plan general de capacitacion, y hacer seguimiento para el cumplimiento del mismo.</t>
  </si>
  <si>
    <t>Aldo Fernandez</t>
  </si>
  <si>
    <t>Semanales</t>
  </si>
  <si>
    <t xml:space="preserve">2. Reuniones con equipos encargados del cumplimiento del plan. </t>
  </si>
  <si>
    <t>1. Tomar la decisión en capacitaciones para con el equipo de operaciones y el cumplimiento del programa que se le va asignar.</t>
  </si>
  <si>
    <t>2. Reporte de la toma de decición (Cómo se tomo la decisión, que impacto se evaluó y porque)</t>
  </si>
  <si>
    <t>1. Liderar reuniones con Staff, Gerentes y superintendentes y hacer el plan de capacitación y lograr crubrir necesadades con capacitaciones internas.</t>
  </si>
  <si>
    <t>2. Desarrollar el diagnótico de necesades de capacitación de las áreas involucradas.</t>
  </si>
  <si>
    <t>3. Presentación de resultados del plan de trabajo con 50% de facilitadores internos.</t>
  </si>
  <si>
    <t>Becerra Camacho Luis Alberto</t>
  </si>
  <si>
    <t>1. Realizar evaluaciones hidrológicas e hidráulicas ante los distintos retos de gestión de aguas que se presenten, definiendo soluciones aplicables y priorizadas según impacto y factibilidad. Entregar los resultados al líder al cierre de cada proyecto o evento relevante, con evidencia de la toma de decisiones basada en datos.</t>
  </si>
  <si>
    <t>Dask Bernedo</t>
  </si>
  <si>
    <t>MENSUAL</t>
  </si>
  <si>
    <t>1. Implementar proyectos desde su concepción hasta su ejecución, abarcando todas las etapas: elaboración de estudios, definición de alcances, Project Establishment (PE), AFE, gestión de cotizaciones y procesos de construcción.</t>
  </si>
  <si>
    <t>Identificar riesgos futuros en la gestión del agua y proponer planes de acción a mediano y largo plazo, priorizando los de mayor impacto operativo o ambiental. Presentar los planes actualizados cada trimestre y dar seguimiento al cumplimiento de las acciones preventivas acordadas.</t>
  </si>
  <si>
    <t>ÚNICA</t>
  </si>
  <si>
    <t>1. Agendar semanalmente todas las actividades laborales en un calendario digital compartido, revisando diariamente la lista de pendientes y marcando el avance de cada tarea.</t>
  </si>
  <si>
    <t>Praxedes Carrillo</t>
  </si>
  <si>
    <t>2. Cada lunes, clasificar las tareas de la semana según su prioridad (urgente/importante, importante/no urgente) y cada viernes evaluar el grado de cumplimiento del 100% de lo planificado, registrando aprendizajes o ajustes necesarios.</t>
  </si>
  <si>
    <t>1. Identificar 5 actividades rutinarias y clasificarlas por nivel de complejidad (bajo, medio, alto).</t>
  </si>
  <si>
    <t>2. Asignar a cada actividad un responsable específico, comunicando claramente los objetivos y plazos.</t>
  </si>
  <si>
    <t>2. Presentar ante su líder un informe resumen del libro así como los compromisos asumidos a patir de él.</t>
  </si>
  <si>
    <t>De la Borda La Torre Diego Renzo</t>
  </si>
  <si>
    <t>1. Liderar la presentación de proyectos en reuniones mensuales, asumiendo el rol de moderador principal y asegurando la participación de todos los involucrados.</t>
  </si>
  <si>
    <t>ASTETE BENITES VICTOR</t>
  </si>
  <si>
    <t>2. Dirigir al menos dos reuniones semanales de seguridad o con empresas contratistas, documentando su participación como moderador en las hojas de asistencia. Al cierre del trimestre, presentar un resumen de los avances y acuerdos alcanzados en las reuniones que lideró.</t>
  </si>
  <si>
    <t>Conocimientos legales de minería.</t>
  </si>
  <si>
    <t>1- Cursos de actualización. (Marco legal para las exploraciones, para operación minera, coordinar relaciones comunitarias). Presentar un informe de estos conocimiento</t>
  </si>
  <si>
    <t>Conocimientos de otras áreas de una operación minera.</t>
  </si>
  <si>
    <t>1. Realizar entrevistas y visitas técnicas a las principales áreas operativas (incluyendo Planta Concentradora) para conocer sus funciones, objetivos e interdependencias. Elaborar un resumen funcional que describa la importancia de cada área y proponer al menos una mejora de colaboración interdepartamental antes del cierre del trimestre.</t>
  </si>
  <si>
    <t xml:space="preserve">Macedo Luna Jhonatan Orlando </t>
  </si>
  <si>
    <t>Pensamiento Estratégico</t>
  </si>
  <si>
    <t>1- Participar directamente con el área de Planificación (Gestión de Activos Mina) en la revisión y actualización de los presupuestos mensuales, aplicando los conceptos de CAPEX y OPEX para asegurar su correcta clasificación y control. La meta es dominar el uso práctico de ambos conceptos antes de finalizar el trimestre, validado por el líder del área.</t>
  </si>
  <si>
    <t>Roberto Salazar Ramírez</t>
  </si>
  <si>
    <t>1. Realizar visitas planificadas a las áreas de trabajo vinculadas con su gestión (operaciones, mantenimiento, seguridad) para presentarse, conocer a los responsables y ofrecer soporte desde su función. Al cierre del trimestre, debe haber visitado al menos 5 áreas y documentado acciones de colaboración concretas establecidas con cada una.</t>
  </si>
  <si>
    <t xml:space="preserve">1. Sostener reuniones quincenales con su líder directo para revisar situaciones laborales que generen estrés o tensión, analizando las causas y aplicando técnicas de autorregulación. Se medirá el avance mediante retroalimentación del líder sobre su respuesta emocional y manejo de situaciones complejas durante los siguientes dos meses. </t>
  </si>
  <si>
    <t>Mago Barboza Carlos Enrique</t>
  </si>
  <si>
    <t>1. Prepararse y exponer el tema “Trabajo en equipo” ante las superintendencias y jefaturas, enfocándose en ejemplos reales del área y en cómo fortalecer la colaboración interna.</t>
  </si>
  <si>
    <t>Roberto Lozano</t>
  </si>
  <si>
    <t>1. Liderazgo de proyectos: (Relave, sostenibilidad) Responsable desde la apertura del cierre. (Jefe debe asignar el proyecto) y (Leer los cuatro acuerdos - Manuel Ruiz).
-Espejo del líder - David Fishman.</t>
  </si>
  <si>
    <t>Revisión de técnologías emergentes para mejorar la gestión de mantenimiento</t>
  </si>
  <si>
    <t>1. Revisión y aplicación de tecnologías emergentes (El internet de las cosas, la inteligencia artificial, machinne learning, gemelos digitales) para mejoras de los procesos de mantenimiento.</t>
  </si>
  <si>
    <t>trimentral</t>
  </si>
  <si>
    <t>*Revisión de casos de éxito en industrias similares.
*Para la tercera acción se requerira asignación de programador del área de sistemas y el presupuesto respectivo.</t>
  </si>
  <si>
    <t>2. Plan piloto con proyecto para: Incremento de la disponibilidad y reducción de costos de los equipos de mantenimiento. (PROPUESTA DE PROYECTO).</t>
  </si>
  <si>
    <t>3. Desarrollo de transacción para el seguimiento y trazabilidad de los materiales solicitados mediante O.T. para los materiales propios y los de consignación.</t>
  </si>
  <si>
    <t xml:space="preserve">Narva Novoa Luis Cirilo </t>
  </si>
  <si>
    <t>1. Asumir temporalmente el rol de jefatura (JEFE DE MANTENIMIENTO MECANICO PLANTA - RELAV Y EQ AUX)  durante el periodo de vacaciones del titular, garantizando la continuidad operativa y el cumplimiento de todos los entregables asignados. Al cierre del reemplazo, documentar los resultados obtenidos y oportunidades de mejora identificadas.</t>
  </si>
  <si>
    <t>Edison Jáuregui</t>
  </si>
  <si>
    <t>2. Realizar un análisis mensual de los entregables y pendientes del área, identificando causas raíz de los retrasos y proponiendo acciones correctivas para mejorar la eficiencia del equipo en el siguiente mes.</t>
  </si>
  <si>
    <t>1. Elaborar un reporte analítico de las fallas críticas ocurridas en el último año, detallando acciones correctivas implementadas y estrategias preventivas de corto plazo. Presentar el informe al líder y validar la aplicabilidad de las estrategias propuestas antes de finalizar el trimestre.</t>
  </si>
  <si>
    <t xml:space="preserve">1. Coordinar reuniones bilaterales con las principales áreas de interacción (operaciones, mantenimiento, seguridad, logística) para alinear expectativas, revisar procesos compartidos y resolver puntos críticos. </t>
  </si>
  <si>
    <t>Apaza Achircana Percy</t>
  </si>
  <si>
    <t>1. Programar la carga semanal de trabajo y priorizar actividades según su nivel de urgencia e importancia, registrando los avances en una herramienta o matriz de control.</t>
  </si>
  <si>
    <t>Herbert Acuña</t>
  </si>
  <si>
    <t xml:space="preserve">Semana y quincenal </t>
  </si>
  <si>
    <t>2. Realizar el seguimiento semanal del cumplimiento de la programación, identificando desviaciones y proponiendo ajustes.</t>
  </si>
  <si>
    <t>3. Garantizar el cumplimiento del programa anual de monitoreo, reportando resultados y acciones correctivas trimestralmente.</t>
  </si>
  <si>
    <t>1. Elaborar el presupuesto anual 2026, asegurando la inclusión de todos los servicios y materiales necesarios.</t>
  </si>
  <si>
    <t>2. Realizar seguimiento mensual al gasto real frente al presupuestado, identificando variaciones y proponiendo medidas correctivas.</t>
  </si>
  <si>
    <t>3. Asegurar la ejecución oportuna de los servicios y compras aprobadas mediante seguimiento mensual con las áreas de soporte.</t>
  </si>
  <si>
    <t>1. Liderar reuniones de planificación de su guardia.</t>
  </si>
  <si>
    <t>2. Coordinar con contraguardias (Agua y aire) para un relevo eficiente.</t>
  </si>
  <si>
    <t>Urbina León Ronald Ángel</t>
  </si>
  <si>
    <t>PALOMINO CARAZAS NICANOR</t>
  </si>
  <si>
    <t>Unica.</t>
  </si>
  <si>
    <t>2. Elaborar un informe de compromisos personales derivados de esos aprendizajes y presentarlo a su líder al cierre del período, junto con ejemplos reales de aplicación.</t>
  </si>
  <si>
    <t>1. Revisar y comprender los procedimientos y políticas vigentes para la elaboración del presupuesto OPEX y CAPEX, participando en al menos una sesión práctica de planificación con el área correspondiente.</t>
  </si>
  <si>
    <t>2. Elaborar el presupuesto OPEX de su área, aplicando los lineamientos aprendidos y presentándolo para su validación antes del cierre del trimestre, asegurando coherencia con los objetivos estratégicos de la organización.</t>
  </si>
  <si>
    <t>1. Liderar reuniones interáreas (Mantenimiento de Líneas, Operaciones y Mantenimiento de Subestaciones) para alinear estrategias de trabajo y definir objetivos compartidos. Documentar acuerdos alcanzados y dar seguimiento mensual a los compromisos asumidos.</t>
  </si>
  <si>
    <t>BIMENSUAL</t>
  </si>
  <si>
    <t>2. Delegar nuevas funciones al equipo de trabajo relacionadas con el uso de escaleras en subestaciones, asegurando que cada miembro comprenda su rol y los estándares de seguridad. Al finalizar el mes, presentar un informe de cumplimiento y lecciones aprendidas.</t>
  </si>
  <si>
    <t>Yanque Huamaní Lourdes Esperanza</t>
  </si>
  <si>
    <t>Comunicación Efectiva</t>
  </si>
  <si>
    <t>1. Liderar las capacitaciones, talleres y reuniones de acuerdo con el plan de capacitacion y las necesidades inmediatas. (Gestión de residuos en la operación con EECC y áreas operativas).</t>
  </si>
  <si>
    <t>William Huggard-Caine Cardó</t>
  </si>
  <si>
    <t>2. Empezar a realizar en plan de trabajo 2025 - 2026 para el impacto en gestión ambientar en la operación. (Estrategias, capacitaciones, etc)</t>
  </si>
  <si>
    <t>1. Implementación de proyectos y asegurar el compromiso con las eecc y los involucrados en operación.</t>
  </si>
  <si>
    <t>2. Negociar con otras áreas recursos/involucramiento para la implementación del plan 2025 - 2026.</t>
  </si>
  <si>
    <t>1. Diseño de encuesta inicial de percepción del impacto medio ambiental.</t>
  </si>
  <si>
    <t>Cada 3 meses</t>
  </si>
  <si>
    <t>2. Implementación de la encuesta.</t>
  </si>
  <si>
    <t xml:space="preserve">3. Análisis de resultados. </t>
  </si>
  <si>
    <t>GABRIELA LOPEZ</t>
  </si>
  <si>
    <t>Carla Morales</t>
  </si>
  <si>
    <t xml:space="preserve">Delegación efectiva </t>
  </si>
  <si>
    <t>1. Delegar y revisar semanalmente tareas críticas a colaboradores con distintos niveles de experiencia, definiendo entregables y tiempos de ejecución. Revisión bibliografíca- Libro: 'El líder que no tenía cargo' – Robin Sharma. Podcast: Relacioandos a liderazgo</t>
  </si>
  <si>
    <t>Samir Ziane</t>
  </si>
  <si>
    <t>0. Puesto altamente crítico</t>
  </si>
  <si>
    <t>Semanal/Mensual</t>
  </si>
  <si>
    <t>Mejorará su capacidad de confiar en el equipo y liderar desde la estrategia, fortaleciendo su empoderamiento y productividad.</t>
  </si>
  <si>
    <t>2. Revisar con su mentor mensualmente los resultados de las tareas delegadas y los aprendizajes generados.</t>
  </si>
  <si>
    <t>3. Aplicar la técnica 'Time Blocking' y reportar semanalmente avances de cumplimiento, utilizar un semaforo de prioridades basado en la criticidad y consecuencias para determinar la prioridad.</t>
  </si>
  <si>
    <t>1. Liderar un proyecto semestral que fortalezca la prevención en cuanto a los casos de asuntos regulatorios, sustentando las decisiones con datos de la gestión.</t>
  </si>
  <si>
    <t>Mensual/ Semestral</t>
  </si>
  <si>
    <t>Consolidará visión estratégica y capacidad analítica, alineando su gestión a los objetivos corporativos del futuro rol.</t>
  </si>
  <si>
    <t>2. Utilizar herramientas como los '5 porqués' o 'Matriz de impacto-esfuerzo' en el análisis de problemas.</t>
  </si>
  <si>
    <t>3. Crear un protocolo de atención para los casos de asuntos regulatorios para prevenir retrasos y dar claridad de como gestionar estas situaciones. Identificación de actores, plazos, pasos a seguir, procedimientos etc</t>
  </si>
  <si>
    <t xml:space="preserve">Aprendizaje continuo </t>
  </si>
  <si>
    <t>1. Participar en al menos 1 programa semestral de las otras áreas de la Gerencia Legal para obtener conocimiento 360 de la Gerencia.</t>
  </si>
  <si>
    <t>Semestral</t>
  </si>
  <si>
    <t>Fomentará la mentalidad de aprendizaje adaptativo, preparándose para escenarios de cambio y crecimiento organizacional.</t>
  </si>
  <si>
    <t xml:space="preserve">1. Coordinar reuniones quincenales con líderes de otras áreas para mejorar sinergias operativas y compartir indicadores. </t>
  </si>
  <si>
    <t>Quicenal</t>
  </si>
  <si>
    <t>Potenciará su autogestión y red de colaboración transversal, mejorando la fluidez operativa y su relacionamiento profesional.</t>
  </si>
  <si>
    <t>Humberto Requejo</t>
  </si>
  <si>
    <t>Innovación</t>
  </si>
  <si>
    <t>Juan Amado</t>
  </si>
  <si>
    <t>Fomenta mentalidad flexible y cultura de mejora continua.</t>
  </si>
  <si>
    <t>Sentido de urgenia</t>
  </si>
  <si>
    <t>Conducir 01 reunión diaria de cambio de guardia (día o noche), con el equipo de operaciones y áreas de soporte aplicando técnicas de escucha activa (parafrasear, validar y preguntar antes de responder) y elaborar minuta con compromisos.</t>
  </si>
  <si>
    <t>Mejora la calidad del trabajo en equipo y eficiencia en entra de resultados.</t>
  </si>
  <si>
    <t>1. Crear semanalmente un tablero de control con prioridades según impacto en desempeño del áera de trabajo y tiempos de entrega, revisado con el mentor o jefe directo. Leer como base: Los 7 hábitos de la gente altamente efectiva' – Stephen Covey (Ed. Paidós).</t>
  </si>
  <si>
    <t>Incrementa eficiencia operativa y claridad en prioridades.</t>
  </si>
  <si>
    <t>Conocimiento en procesos de planta</t>
  </si>
  <si>
    <t>1. Realizar 1 visita trimestral a 2 diferentes areas de la planta con los supervisores principales, para profundizar el entedimiento de variables operacionales.</t>
  </si>
  <si>
    <t>Desarrolla criterio técnico y accountability.</t>
  </si>
  <si>
    <t>2. En las visitas levantar informaciòn de identificaciòn de oportunidaes de mejoras para realizar propuestas formales para planes de acciòn.</t>
  </si>
  <si>
    <t>Boris Taype</t>
  </si>
  <si>
    <t>1. Practicar la exposición clara y segura al mentor, usando mensajes estructurados (situación, acción, resultado) y solicitando feedback inmediato del mentor.</t>
  </si>
  <si>
    <t>Pedro La Cruz</t>
  </si>
  <si>
    <t>Desarrolla autoconfianza, claridad y control emocional al comunicar.</t>
  </si>
  <si>
    <t>2. Enviar información de resultados de turno diario, destacando sus decisiones técnicas y aportes.</t>
  </si>
  <si>
    <t>1. Delegar semanalmente al menos 2 tareas específicas a colaboradores con diferentes niveles de experiencia, definiendo metas y plazos claros.</t>
  </si>
  <si>
    <t>José Luque</t>
  </si>
  <si>
    <t>Fortalecerá su capacidad de empoderar al equipo, reduciendo la sobrecarga operativa y desarrollando liderazgo por influencia y confianza.</t>
  </si>
  <si>
    <t>2. Realizar sesiones quincenales de revisión para retroalimentar resultados con base en indicadores, no percepciones.</t>
  </si>
  <si>
    <t>3. Implementar una matriz de delegación que identifique tareas críticas y niveles de autonomía del equipo. Utilizando el planner para planificar al equipo.</t>
  </si>
  <si>
    <t>1. Registrar semanalmente 1 situación de tensión o conflicto y describir su manejo emocional en una bitácora de autocontrol.</t>
  </si>
  <si>
    <t>Desarrollará empatía, resiliencia y equilibrio emocional, impactando positivamente en el clima y las relaciones laborales.</t>
  </si>
  <si>
    <t>1. Registrar semanalmente 1 situación de tensión o conflicto y describir su manejo emocional en una bitácora de autocontrol. Leer: Lectura: “Inteligencia emocional” – Daniel Goleman. Podcast: “Entiende tu mente” (episodios sobre autocontrol y empatía). TED Talk: “El poder de la vulnerabilidad” – Brené Brown.</t>
  </si>
  <si>
    <t>2. Aplicar la técnica 'pausa-respira-pregunta' antes de responder ante presión.</t>
  </si>
  <si>
    <t xml:space="preserve"> 3. Solicitar retroalimentación de su mentor y equipo sobre su tono comunicativo y reacción ante la frustración.</t>
  </si>
  <si>
    <t>1. Elaborar planes mensuales de logro de objetivos que ayuden a MCP.</t>
  </si>
  <si>
    <t>Potenciará su pensamiento anticipado, manejo de la incertidumbre, enfoque en prioridades y visión global, consolidando su rol como líder planificador.</t>
  </si>
  <si>
    <t>2. Usar las herramientas LPS para validar su cumplimiento y anáisis respectivo: LOOKHEAD (Mirar hacia delante de 4 semanas) con sus respectivas herramientas de control: Análisis de reestricciones, Plan semanal, PPC, Causa de incumplimiento y decisiones informadas.</t>
  </si>
  <si>
    <t>Comunicación  Efectiva</t>
  </si>
  <si>
    <t>1. Coordinar y liderar 2 reunión quincenales: una con el área de operaciones y una con el área de ingeniería, compartiendo indicadores clave y acuerdos operativos.</t>
  </si>
  <si>
    <t>Promoverá la sinergia entre áreas y mejorará su visibilidad organizacional, impulsando una comunicación más estratégica y colaborativa.</t>
  </si>
  <si>
    <t>2.Documentar acuerdos en formato estandarizado y dar seguimiento a su cumplimiento. en formato QQC.</t>
  </si>
  <si>
    <t>3.Practicar la técnica 'mensajes breves' en presentaciones y correos, reduciendo ambigüedades. Curso Presentaciones Efectivas.</t>
  </si>
  <si>
    <t>Cesar Guerra</t>
  </si>
  <si>
    <t>1. Liderar reuniones mensuales con áreas operativas y de soporte para asegurar la integración del plan de minado y la correcta comunicación de los objetivos del área. En función del aseguramiento del cumplimiento del plan anual. Levantar en la reuniones gap y punto focales para establecer planes de acción.</t>
  </si>
  <si>
    <t>Ruddy Palacios</t>
  </si>
  <si>
    <t>Permitirá fortalecer la coordinación transversal, promover la colaboración y asegurar el flujo eficiente de información entre las áreas.</t>
  </si>
  <si>
    <t>1. Presentar anualmente los planes de minado ante la alta gerencia, destacando resultados, proyecciones y medidas correctivas con enfoque en eficiencia y seguridad.</t>
  </si>
  <si>
    <t>Anual/ Trimestralmente</t>
  </si>
  <si>
    <t>Reforzará la influencia positiva y la gestión eficiente del tiempo, desarrollando confianza en la delegación y toma de decisiones compartidas.</t>
  </si>
  <si>
    <t>2. Conducir negociaciones con áreas clave o proveedores para implementar mejoras operativas, asegurando acuerdos win–win y empoderando al equipo en la ejecución de tareas.</t>
  </si>
  <si>
    <t>1. Implementar dos iniciativas semestrales de mejora operativa o tecnológica que incrementen la eficiencia o seguridad en la ejecución del plan de minado.</t>
  </si>
  <si>
    <t>Fomentará una cultura de innovación aplicada, enfocada en la excelencia operacional, sostenibilidad y mejora constante.</t>
  </si>
  <si>
    <t>Christiam Farro</t>
  </si>
  <si>
    <t>Gestión integral de procesos operativos de SSGG</t>
  </si>
  <si>
    <t>1. Mapear los procesos mineros del área donde participa (Plantas de tratamiento de agua, ISO 45001, HACCAP) identificando etapas críticas, interdependencias y puntos de mejora apoyados en tecnología.</t>
  </si>
  <si>
    <t>Javier La Rosa</t>
  </si>
  <si>
    <t>Fortalecer su dominio técnico minero y su capacidad para integrar tecnología en los procesos, mejorando los procesos actuales como parte de su entrenamiento aplicando analítica, estrategia y uso de tecnología.
A su vez, potenciará su aporte en la mejora continua del área.</t>
  </si>
  <si>
    <t>2. Aplicar herramientas tecnológicas disponibles (ej. Power BI, Excel avanzado, SAP, GIS o sistemas internos) para el seguimiento de indicadores de desempeño operativo.</t>
  </si>
  <si>
    <t>3. Documentar y presentar semestralmente una propuesta de mejora o innovación digital en algún proceso operativo (automatización, control o trazabilidad).</t>
  </si>
  <si>
    <t>4.Participar en sesiones o comités de los procesos mencionados en el punto # 1compartiendo buenas prácticas o casos de uso aplicables.</t>
  </si>
  <si>
    <t>Gestión operativa de campamentos y servicios</t>
  </si>
  <si>
    <t>1. Supervisar mensualmente la operación de campamentos, comedores y plantas de agua, asegurando al menos 95% de continuidad en los servicios.</t>
  </si>
  <si>
    <t>Mensual/ trimestral</t>
  </si>
  <si>
    <t>Fortalecer su capacidad de gestionar los servicios del campamento con enfoque en calidad, eficiencia y experiencia del usuario interno, incrementando su autonomía, visión global y liderazgo operativo.
A su vez, lo preparan para asumir roles de mayor responsabilidad o coordinación logística, integrando la supervisión, el control de proveedores y la mejora continua.</t>
  </si>
  <si>
    <t>2. Diseñar e implementar un checklist operativo mensual con los principales indicadores de servicios (tiempos de atención, incidencias y consumo).</t>
  </si>
  <si>
    <t>3. Revisar contratos o reportes de proveedores clave (alimentación, mantenimiento y limpieza) y realizar al menos una reunión trimestral de retroalimentación para definir mejoras.</t>
  </si>
  <si>
    <t>4. Proponer e implementar una mejora operativa semestral.</t>
  </si>
  <si>
    <t>1. Coordinar reuniones de alineamiento interárea (por ejemplo, con Protección Empresarial, Gestión de Activos, Construcción o Seguridad) para definir acuerdos claros, responsables y fechas de cumplimiento, registrando los compromisos por escrito.</t>
  </si>
  <si>
    <t>Esta acción permitirá que el colaborador desarrolle una comunicación más clara, breve y efectiva, mejorando su credibilidad, la calidad de sus interacciones y su impacto en espacios formales.
Además, fortalece la seguridad al hablar, optimiza las reuniones y refuerza la sinergia entre áreas al minimizar malentendidos.</t>
  </si>
  <si>
    <t>Eduardo García</t>
  </si>
  <si>
    <t>1. Liderar semanalmente reuniones de cambio de guardia y de equipo asegurando un 100% de asistencia y definición de compromisos claros con seguimiento quincenal.</t>
  </si>
  <si>
    <t>CARLOS MELENDEZ QUEZADA</t>
  </si>
  <si>
    <t>Generar espacio de diálogo con empatia y confianza.</t>
  </si>
  <si>
    <t>Relacioanamiento</t>
  </si>
  <si>
    <t>1. Intervenir activamente en al menos 3 reuniones interáreas usuarias por mes, aportando propuestas viables y registrando acuerdos.</t>
  </si>
  <si>
    <t>Preparar una agenda estrategica previa para cada reunión.</t>
  </si>
  <si>
    <t>1. Coordinar al menos 2 iniciativas de presentación de un proyecto interáreas al trimestre, asegurando satisfacción de al menos 80% de los involucrados.</t>
  </si>
  <si>
    <t>Medir impacto de la colaboración interárea en el desarrollo de los proyectos.</t>
  </si>
  <si>
    <t>1. Planificar, ejecutar y cerrar al menos 2 proyectos en el año, cumpliendo 90% de plazos establecidos.</t>
  </si>
  <si>
    <t xml:space="preserve">Usar herramientas de gestión del área </t>
  </si>
  <si>
    <t>Delegación Efectiva</t>
  </si>
  <si>
    <t>Delegar al menos 2 tareas críticas cada dos mes, asegurando 90% de cumplimiento y retroalimentación positiva.</t>
  </si>
  <si>
    <t>Evaluar competencias antes de delegar.</t>
  </si>
  <si>
    <t>Fortalecer confianza del equipo realizando 1 acción de reconocimiento mensual y seguimiento a compromisos de colaboradores.</t>
  </si>
  <si>
    <t>Documentar reconocimientos y compromisos.</t>
  </si>
  <si>
    <t>Presentar 1 propuesta estratégica trimestral alineada al plan del área con análisis de impacto en costos o productividad.</t>
  </si>
  <si>
    <t>Validar alineación con estrategia corporativa.</t>
  </si>
  <si>
    <t>Conocimiento de procesos mineros</t>
  </si>
  <si>
    <t>Participar activamente en 2 revisiones operativas de procesos mineros al semestre, identificando al menos 2 oportunidades de mejora.</t>
  </si>
  <si>
    <t>Registrar aprendizajes técnicos.</t>
  </si>
  <si>
    <t>Manejo de conflictos</t>
  </si>
  <si>
    <t>Intervenir en al menos 1 situación retadora del área por semestre, aportando su intervención y logrando resolución satisfactoria en 70% de los casos.</t>
  </si>
  <si>
    <t>Aplicar técnicas de mediación y feedback constructivo.</t>
  </si>
  <si>
    <t>Edwin Carbonel</t>
  </si>
  <si>
    <t>Resolución de conflctos</t>
  </si>
  <si>
    <t>1. Facilitar 1 reunión al mes de retroalimentación, con el equipo, donde identifique causas de conflicto y proponga acuerdos que mejoren la colaboración técnica y humana.</t>
  </si>
  <si>
    <t>Noé Sandolval</t>
  </si>
  <si>
    <t xml:space="preserve">Mensual </t>
  </si>
  <si>
    <t>Fortalece su capacidad de diálogo y clima de equipo o áreas con las que se relaciona.</t>
  </si>
  <si>
    <t>1. Planificar tareas de corto y mediano plazo usando herramientas de priorización  para establecer procesos críticos que requieran prioridad en la atención.</t>
  </si>
  <si>
    <t>Potencia la autonomía y liderazgo operativo.</t>
  </si>
  <si>
    <t>2. Una vez establecida las prioridades en su área, compartir las misma para que se sigan ejecutando por su relevo.</t>
  </si>
  <si>
    <t>3. Realizar un formato para descargar estas prioridades y realizar la entrega (formato de relevo de funciones prioritarias).</t>
  </si>
  <si>
    <t>Conocimiento general de la planta concentradora de cobre</t>
  </si>
  <si>
    <t>1. Participar en charlas y talleres para obtener los conocimientos que le acompañarán a adquirir esta habilidad.</t>
  </si>
  <si>
    <t>Mejora su capacidad analítica y comprensión integral del negocio.</t>
  </si>
  <si>
    <t>2. Asistir a las programacioes de charlas y talleres dictados por su mentor técnico.</t>
  </si>
  <si>
    <t>Eliseo Torres</t>
  </si>
  <si>
    <t>1. Liderar los cambios de guardia del staff, aplicando la técnica de 'mensaje en tres puntos' para comunicar objetivos y prioridades con claridad. Solicitar feedback mensual del equipo sobre su comunicación y manejo emocional durante situaciones de presión.</t>
  </si>
  <si>
    <t>Edier Salinas</t>
  </si>
  <si>
    <t>Fortalecer su liderazgo.</t>
  </si>
  <si>
    <t>1. Delegar mensualmente al menos 2 tareas críticas a técnicos con distintos niveles de experiencia, definiendo plazos y validando resultados mediante indicadores. Implementar una matriz de delegación (SMART) para definir niveles de responsabilidad del personal.</t>
  </si>
  <si>
    <t>Desarrollará autonomía en el equipo y fortalecerá su rol como líder formador.</t>
  </si>
  <si>
    <t>Pensamiento Crítico</t>
  </si>
  <si>
    <t>1. Participar activamente en el desarrollo de RCA’s y proponer 1 método trimestral de identificación de fallas ocultas o potenciales. Presentar resultados y mejoras en las reuniones de mantenimiento o comités técnicos.</t>
  </si>
  <si>
    <t>Fomentará pensamiento crítico y calidad operativa en procesos clave.</t>
  </si>
  <si>
    <t>Enrique Vilcapuma</t>
  </si>
  <si>
    <t>1. Liderar un análisis de criticidad multicriterio de equipos de la planta, formulando estrategias predictivas basadas en datos para la toma de decisiones de mantenimiento.</t>
  </si>
  <si>
    <t>Danny Andia</t>
  </si>
  <si>
    <t>Eleva la visión global y analítica para la gestión predictiva.</t>
  </si>
  <si>
    <t>2. Elaborar mensualmente un reporte técnico que analice las causas de desviaciones en la confiabilidad de equipos críticos, proponiendo dos alternativas de mejora sustentadas con datos predictivos.</t>
  </si>
  <si>
    <t>Inciativa</t>
  </si>
  <si>
    <t>1. Diseñar y liderar un proyecto piloto de análisis predictivo con impacto medible en la confiabilidad operacional.</t>
  </si>
  <si>
    <t>Promueve la proactividad y liderazgo técnico visible.</t>
  </si>
  <si>
    <t>2.Coordinar con el área de mantenimiento la implementación de una mejora en análisis predictivo, asegurando la participación de al menos un especialista y documentando los resultados del piloto.</t>
  </si>
  <si>
    <t>1. Asignar tareas específicas en los proyectos de mejora continua, estableciendo roles y metas claras mediante metodología RACI.</t>
  </si>
  <si>
    <t>Refuerza la confianza y liderazgo adaptativo.</t>
  </si>
  <si>
    <t>Uso de tecnología minera y analítica avanzada</t>
  </si>
  <si>
    <t>1. Implementar herramientas de predicción avanzada y dashboards de monitoreo para anticipar fallas.</t>
  </si>
  <si>
    <t>Socialización e implementación de nuevas tecnologías</t>
  </si>
  <si>
    <t>Hebert Acuña</t>
  </si>
  <si>
    <t>Conocimiento y planificación de los IGAs.</t>
  </si>
  <si>
    <t>1. Actualizar, validar y diseñar planes trimestrales de cumplimiento de los IGAs, asegurando un 95% de cumplimiento documentado con metas claras y responsables definidos.</t>
  </si>
  <si>
    <t xml:space="preserve"> Linconln Villanueva</t>
  </si>
  <si>
    <t>Generar reportes de seguimiento y definir los planes con los objetivos de la empresa.</t>
  </si>
  <si>
    <t>1. Definir y monitorear al menos 3 objetivos anuales con hitos trimestrales alcanzados en un 90%.</t>
  </si>
  <si>
    <t>Usar tablero de control y revisón de los avances en reuniones 1:1</t>
  </si>
  <si>
    <t>2. Fijar metas de cumplimiento individuales y de equipo, logrando un 90% de avance trimestral.</t>
  </si>
  <si>
    <t>Comuniacación Efectiva</t>
  </si>
  <si>
    <t>1. Realizar una reunion mensual aplicando técnicas de mensaje en 3 puntos en las reuniones, reduciendo observaciones por falta de claridad en 50% en 6 meses con sus colaboradores y las áreas de interés, documentando acuerdos y responsables.</t>
  </si>
  <si>
    <t>Fomentar relaciones de colaboración y reforzar con retroalimentación directa.</t>
  </si>
  <si>
    <t>Delegación efectiva.</t>
  </si>
  <si>
    <t>1. Delegar al menos 3 tareas críticas por trimestre, asegurando cumplimiento en un 80% y participar en al menos 1 proyecto transversal por semestre, evidenciando colaboración con mínimo 2 áreas distintas.</t>
  </si>
  <si>
    <t>Evaluar la madurez del equipo antes de delegar.</t>
  </si>
  <si>
    <t>1. Aplicar técnicas de control emocional en reuniones críticas, reduciendo incidentes de confrontación en 40% en 6 meses y adaptar el estilo de liderazgo en al menos 3 casos trimestrales, evidenciando efectividad en resultados.</t>
  </si>
  <si>
    <t>Complementar con ejercicios de autocontrol y revisar estilos aplicados en retroalimentación.</t>
  </si>
  <si>
    <t>Jesús Luna</t>
  </si>
  <si>
    <t>1. Intervenir activamente en las reuniones semanales con las áreas operativas y comerciales para resolver situaciones críticas.</t>
  </si>
  <si>
    <t>Misch Moreno</t>
  </si>
  <si>
    <t>Practicar la comunicación asertiva y la gestión emocional para fortalecer la credibilidad y autoridad en la toma de decisiones.</t>
  </si>
  <si>
    <t>2. Documentar el problema, la decisión adoptada y los resultados obtenidos.</t>
  </si>
  <si>
    <t>1. Liderar presentaciones trimestrales de los avances del área ante el Comité de Gerencia o líderes interáreas, asumiendo la exposición de resultados, desafíos y próximos pasos.</t>
  </si>
  <si>
    <t>Trismestral/Mensual</t>
  </si>
  <si>
    <t>Fomentar la autoconfianza y la preparación previa para cada espacio de exposición.</t>
  </si>
  <si>
    <t>2. Proponer y liderar una iniciativa transversal (por ejemplo: mejora de procesos, proyecto de eficiencia o experiencia del cliente interno) que involucre al menos a dos áreas distintas.</t>
  </si>
  <si>
    <t>Jhony Grandez</t>
  </si>
  <si>
    <t>1. Elaborar quincenalmente un plan de trabajo priorizando tareas según impacto y urgencia, asegurando la entrega oportuna y confiable de los resultados.</t>
  </si>
  <si>
    <t>Guicela Berrio</t>
  </si>
  <si>
    <t>Permitirá mejorar la organización personal y el enfoque en prioridades, incrementando la eficiencia y el cumplimiento de objetivos.</t>
  </si>
  <si>
    <t>1. Liderar reuniones mensuales de liquidaciones de impuesto con la gerencia de contabilidad y las jefaturas de áera para comunicar avances, propuestas y resultados con claridad y seguridad. Fijando su criterio con argumentos solidos</t>
  </si>
  <si>
    <t>Reforzará su capacidad de transmitir ideas con confianza, mejorando la interacción con colegas y superiores.</t>
  </si>
  <si>
    <t>1. Proponer, cada trimestre, una mejora en procesos o soluciones a problemas recurrentes, sustentando su análisis con datos y criterios técnicos. Basado en pensamiento critico. Trabajando en el analisis de los estados financieros desde la optica tributaria.</t>
  </si>
  <si>
    <t>Trismestral</t>
  </si>
  <si>
    <t>Impulsará la toma de decisiones basadas en evidencia y la generación de valor a través de la creatividad aplicada.</t>
  </si>
  <si>
    <t>Luís Lino</t>
  </si>
  <si>
    <t>Gestión y control del Headcount</t>
  </si>
  <si>
    <t>1. Actualizar mensualmente el reporte de headcount, asegurando un 100% de consistencia de la información.</t>
  </si>
  <si>
    <t>Augusto Maurer</t>
  </si>
  <si>
    <t>Consolidará su capacidad analítica y rigurosidad, asegurando una gestión precisa de datos y soporte confiable para la toma de decisiones, además le permitirá usar indicadores visuales para control.</t>
  </si>
  <si>
    <t>2. Establecer una actividad de control para la verificación y confiabilidad de la información y reportería.</t>
  </si>
  <si>
    <t xml:space="preserve">3. Crear dashboard de indicadores </t>
  </si>
  <si>
    <t>1. Definir y comunicar anualmente los planes de desarrollo por cada colaborador del área, asegurando seguimiento en reuniones 1:1.</t>
  </si>
  <si>
    <t>Estas acciones fortalecerán su autogestión, reduciendo el estrés percibido y aumentando su resiliencia, productividad y bienestar general. Además le dará visibilidad a su liderazgo con el equipo generando una gestión organizada y confiable. También potenciará la visión de desarrollo organizacional y el liderazgo estratégico, consolidando su rol como referente en la gestión de talento.</t>
  </si>
  <si>
    <t>2. Liderar al menos 2 negociaciones trimestrales con proveedores o stakeholders, logrando acuerdos satisfactorios en el 80% de los casos.</t>
  </si>
  <si>
    <t>3. Participar en sesiones de coaching individual enfocadas en manejo del estrés y gestión emocional.</t>
  </si>
  <si>
    <t>4. Escuchar podcasts inspiradores sobre liderazgo emocional y resiliencia.</t>
  </si>
  <si>
    <t>1. Identificar los procesos mejorables y automatizables de área que puedan ajustarse basados IA u otras metodologías agiles actuales.</t>
  </si>
  <si>
    <t>Permitirá a Luis desarrollar una mentalidad digital orientada a la mejora continua, fortaleciendo su rol como facilitador del cambio y potenciando su capacidad de innovar dentro del área.</t>
  </si>
  <si>
    <t>2. Aplicar metodologías ágiles para planificar e implementar automatizaciones mensuales en los procesos del área, integrando herramientas de IA (como Power BI, ChatGPT o Excel avanzado) que permitan mejorar la eficiencia y detectar errores de forma predictiva.</t>
  </si>
  <si>
    <t>Majusvic Clemzon Prada</t>
  </si>
  <si>
    <t>1. Realizar reuniones semanales de coordinación, definir objetivos claros por colaborador y dar seguimiento al cumplimiento de metas.</t>
  </si>
  <si>
    <t xml:space="preserve">Juan Lujan </t>
  </si>
  <si>
    <t>Le permitirá desarrollar confianza en su equipo, liberar carga operativa y enfocarse en la gestión estratégica. Aprenderá a guiar sin sobrecontrolar.</t>
  </si>
  <si>
    <t>2. Establecer reuniones de planificación, seguimiento y feedback individual (1.1).</t>
  </si>
  <si>
    <t>3. Delegar semanalmente tareas específicas a su equipo, definiendo objetivos claros, plazos y responsabilidades, realizando seguimiento solo en puntos críticos (no en todo el proceso).</t>
  </si>
  <si>
    <t>1. Analizar semanalmente una situación operativa compleja antes de decidir, utilizando la técnica de las 5 preguntas “¿por qué?” para llegar a la causa raíz del problema antes de tomar acción.</t>
  </si>
  <si>
    <t>Le permitirá pasar de una postura reactiva a una más propositiva, ganando seguridad, visión estratégica y apertura mental frente a los nuevos desafíos.</t>
  </si>
  <si>
    <t>2. Presentar mensualmente una propuesta de mejora basada en datos (indicadores o evidencia del área) y discutirla con el mentor o líder.</t>
  </si>
  <si>
    <t>3. Llevar una bitácora de decisiones, documentando brevemente los contextos, las alternativas evaluadas, la elección y los resultados obtenidos.</t>
  </si>
  <si>
    <t>4. Participar activamente en las reuniones de análisis o lecciones aprendidas del área, aportando puntos de vista distintos y preguntas que ayuden al equipo a reflexionar.</t>
  </si>
  <si>
    <t>5. Practicar el método “ventana de pensamiento crítico” en conversaciones clave</t>
  </si>
  <si>
    <t>1.Asegurar que al menos el 80% del equipo participe en actividades de capacitación interna en el semestre, realizando seguimiento individual.</t>
  </si>
  <si>
    <t>Motivar mediante reconocimiento de participación. Tener un equipo cada vez más preparado y comprometido.</t>
  </si>
  <si>
    <t>2. Aplicar PDI sencillos y alcanzables a su equipo de trabajo para fomentar su desarrollo.</t>
  </si>
  <si>
    <t>Omar Vásquez</t>
  </si>
  <si>
    <t>Supervisión de contratistas</t>
  </si>
  <si>
    <t>Auditar el desempeño de contratistas con al menos 90% de cumplimiento en KPIs definidos por semestre.</t>
  </si>
  <si>
    <t>Carlos Arrayan</t>
  </si>
  <si>
    <t>semestral</t>
  </si>
  <si>
    <t>Fortalecer la supervisión efectiva y asegurar la calidad del servicio prestado por contratistas. Se sugiere registrar hallazgos y planes de mejora en cada auditoría.</t>
  </si>
  <si>
    <t xml:space="preserve">Estrategias del mantenimiento </t>
  </si>
  <si>
    <t>Diseñar 1 nueva estrategia operativa por semestre que mejoren la eficiencia en al menos un 5%.</t>
  </si>
  <si>
    <t>Desarrollar una visión más estratégica del mantenimiento, enfocada en la optimización de recursos, reducción de tiempos improductivos y mejora continua de la operación. Se recomienda evaluar el impacto de cada estrategia implementada y documentar los aprendizajes para su réplica o escalamiento.</t>
  </si>
  <si>
    <t>Gestión de recursos y presupuesto</t>
  </si>
  <si>
    <t>Evaluación trimestralmente sobre la ejecución del presupuesto OPEX con un desvío máximo del 5%.</t>
  </si>
  <si>
    <t>Desarrollar una gestión más estratégica del presupuesto, promoviendo la toma de decisiones informadas, el uso responsable de los recursos y la anticipación ante posibles desviaciones. Se sugiere acompañar el análisis con propuestas de mejora continua en la eficiencia operativa.</t>
  </si>
  <si>
    <t>Liderar 1 negociación trimestral con stakeholders internos, alcanzando acuerdos satisfactorios en 70% de los casos.</t>
  </si>
  <si>
    <t>fortalecer la capacidad de negociación estratégica, promoviendo acuerdos sostenibles y alineados a los objetivos organizacionales. Se recomienda realizar una retroalimentación posterior a cada negociación para identificar aprendizajes, tácticas efectivas y áreas de mejora en la gestión con stakeholders internos.</t>
  </si>
  <si>
    <t>Praxedes Humberto Carrillo</t>
  </si>
  <si>
    <t>1. Diseñar planes trimestrales alineados a los objetivos del área, con metas específicas, responsables definidos y seguimiento de avances. Basado en metodologías agíles.</t>
  </si>
  <si>
    <t>Héctor Carreño</t>
  </si>
  <si>
    <t>Fortalecer la visión estratégica y el foco en resultados, asegurando coherencia entre planificación, ejecución y evaluación.</t>
  </si>
  <si>
    <t>1. Realizar reuniones de escucha activa con el equipo y áreas aliadas, identificando oportunidades de mejora y aplicando al menos 1 acción de impacto mensual.</t>
  </si>
  <si>
    <t>Mesual</t>
  </si>
  <si>
    <t>Permitirá consolidar un liderazgo cercano, generando confianza, compromiso y colaboración entre las áreas.</t>
  </si>
  <si>
    <t>2. Conducir reuniones de escucha activa y retroalimentación con el equipo, promoviendo conversaciones constructivas que fortalezcan la confianza, la claridad de objetivos y la colaboración entre áreas.</t>
  </si>
  <si>
    <t>1. Identificar e implementar, cada semestre, al menos dos iniciativas que optimicen procesos o generen mejoras medibles en eficiencia, calidad o satisfacción del cliente interno.</t>
  </si>
  <si>
    <t>Desarrollará la capacidad de innovación aplicada al negocio, fomentando el pensamiento creativo con foco en la mejora sostenible.</t>
  </si>
  <si>
    <t>2. Liderar una iniciativa interárea que resuelva un problema operativo común, promoviendo la colaboración y la búsqueda de soluciones compartidas.</t>
  </si>
  <si>
    <t>1. Liderar un proyecto transversal al año que integre al menos 3 áreas, asegurando una comunicación efectiva y una implementación ordenada del cambio.</t>
  </si>
  <si>
    <t>Reforzará las competencias de liderazgo transformacional, alineando la gestión del cambio con la cultura de colaboración y mejora continua.</t>
  </si>
  <si>
    <t>2. Realizar reuniones informativas y conversatorios sobre los cambios implementados, asegurando que el equipo comprenda el por qué, el para qué y el cómo.</t>
  </si>
  <si>
    <t xml:space="preserve">Ricardo Ramírez </t>
  </si>
  <si>
    <t xml:space="preserve">Liderazgo </t>
  </si>
  <si>
    <t>1. Coordinar la organización del personal del área, garantizando al menos 95% de cobertura de roles críticos cada mes.</t>
  </si>
  <si>
    <t>Ignacio Zavala</t>
  </si>
  <si>
    <r>
      <t xml:space="preserve">Mensual/ </t>
    </r>
    <r>
      <rPr>
        <sz val="11"/>
        <color rgb="FFFF0000"/>
        <rFont val="Lato"/>
        <family val="2"/>
      </rPr>
      <t>quincenal</t>
    </r>
  </si>
  <si>
    <t>Garantizar la mejora de la gestipon de equipo en cuanto a la distrubición y calidad de los entregables</t>
  </si>
  <si>
    <t>2. Implementar 1 iniciativa mensual de reconocimiento y motivación para el equipo.</t>
  </si>
  <si>
    <t>3. Ejecutar revisiones de calidad quincenales, asegurando 90% de la calidad y confiabilidad de la información entregada en las fechas establecidas</t>
  </si>
  <si>
    <t>1. Liderar 1 reunión Trimestral de CDP con el equipo de trabajo, asegurando acuerdos claros de Gestión y seguimiento de compromisos al 100%.</t>
  </si>
  <si>
    <t>Bimestral/Mensual/Semanal</t>
  </si>
  <si>
    <t>Mejorar la autonomía en la tomas de desiciones, lograr la visibilidad ante la vicepresidencia y el equipo de trabajo.</t>
  </si>
  <si>
    <t>2.Participar activamente en las discusiones semanales  de VDP a nivel gerencial, con propuestas validadas.</t>
  </si>
  <si>
    <t>3. Resolver al menos 2 tareas críticas al mes sin requerir supervisión directa, para generar más autonomía en el cargo.</t>
  </si>
  <si>
    <t>1. Dar respuesta al 90% de solicitudes interáreas con carácter de Urgencia en un plazo establecido y acordado con el área.</t>
  </si>
  <si>
    <t>Garantizar la gestión y taneción de las soliictudes de forma oportuna y Medir satisfacción de las áreas atendidas.</t>
  </si>
  <si>
    <t>2. Tomar las acciones inmediatas ante las solictudes de los clientes internos.</t>
  </si>
  <si>
    <t>Yohn Michael Solano</t>
  </si>
  <si>
    <t>1. Realizar 2 reuniones (1 por guardia) mensuales de seguimiento acercandose a los módulos de clientes internos para levantar información relevantes y necesadades, además de mejorar su networking interno.</t>
  </si>
  <si>
    <t>Pavel Chávez</t>
  </si>
  <si>
    <t>Desarrollar conexiones internas</t>
  </si>
  <si>
    <t>Juan Revilla</t>
  </si>
  <si>
    <t>1. Revisar los planes de forma semanal para visiualizar el escenario para planificación de la semana.</t>
  </si>
  <si>
    <t>Juan Gutarra</t>
  </si>
  <si>
    <t>Permitirá anticipar riesgos operativos, mejorar la alineación con las prioridades del área y asegurar decisiones más oportunas. Al desarrollar esta disciplina, el mentee fortalecerá su capacidad de planificación, su visión preventiva y la confiabilidad en la ejecución semanal.</t>
  </si>
  <si>
    <t>Conocimiento de tareas del área de operaciones mina</t>
  </si>
  <si>
    <t>1.Aprender a manejar y gestionar las horas extras y gestión de EPP´sa traves del acompañamiento y eneseñazas de su lider mentor</t>
  </si>
  <si>
    <t>Desarrollar esta acción permitirá que el mentee adquiera dominio operativo en la gestión de horas extras y EPP, elevando la precisión administrativa y reduciendo errores recurrentes. El acompañamiento del mentor facilitará el entendimiento del proceso, fortalecerá su criterio para la toma de decisiones y aumentará su autonomía en actividades clave del área.</t>
  </si>
  <si>
    <t>John Villoslada</t>
  </si>
  <si>
    <t xml:space="preserve">Pensamiento Critíco </t>
  </si>
  <si>
    <t>1. Revisar más a detalle los sustentos, tomandose el tiempo prudente para realizar una detallada evaluación.</t>
  </si>
  <si>
    <t>Jorge Ramírez</t>
  </si>
  <si>
    <t>Esta acción permitirá asegurar que los estados de pago y adicionales de contrato sean validados con mayor precisión, evitando inconsistencias económicas y reclamos de proveedores. Refuerza el rol del colaborador como garante de exactitud financiera y de cumplimiento contractual.</t>
  </si>
  <si>
    <t>2. Revisión a detalle y minusiosa de estados de pago o valorizaciones y de los adicionales de contrato.</t>
  </si>
  <si>
    <t>Carlos Nuñez</t>
  </si>
  <si>
    <t>1. Establecer más comunicación con los stakeholders internos. Tener reuniones periódicas con las áreas usuarias al inicio de los proyectos para revisar expectativas.</t>
  </si>
  <si>
    <t>Eduardo de la Torre</t>
  </si>
  <si>
    <t>Conectar con sus principales clientes y tener claridad de las expectativasque tienen en la implementación de los proyectos. Tomando como referencia la Matriz de Trazabilidad de Requisitos (FOR-ING-007).</t>
  </si>
  <si>
    <t>Gestión proactiva de riesgos</t>
  </si>
  <si>
    <t>1. Actualizar mensualmente el estado de los riesgos de cada proyecto.  Identificar, registrar,  priorizar y establer un plan  de acción para los riesgos principales.</t>
  </si>
  <si>
    <t>Fomentará control preventivo.</t>
  </si>
  <si>
    <t>2. Revisar metodología (PMI) /Metodología: Smith, P.G. &amp; Merritt, G.M. (2002) . Para implementarla en sus tareas</t>
  </si>
  <si>
    <t>ok</t>
  </si>
  <si>
    <t>Condori Figueroa Martín</t>
  </si>
  <si>
    <t xml:space="preserve"> Christian Felix Sánchez Contreras</t>
  </si>
  <si>
    <t>1. Reuniones semanales de reporte de avances de tareas</t>
  </si>
  <si>
    <t xml:space="preserve"> Mentoring </t>
  </si>
  <si>
    <t>Martín Rivera</t>
  </si>
  <si>
    <t>Permitirá mejorar la claridad, coherencia y efectividad de la comunicación interna.</t>
  </si>
  <si>
    <t xml:space="preserve">2. Trabajar en un modelo de entregable de información por correo para clientes internos, claros, completos </t>
  </si>
  <si>
    <t>Al aprender a diferenciar hechos de interpretaciones y dejar de tomarse los comentarios de forma personal, Además podrá responder con mayor calma y objetividad, fortaleciendo su credibilidad</t>
  </si>
  <si>
    <t>Organizar semanalmente su agenda usando time blocking y semáforo de prioridades para cumplir plazos críticos.</t>
  </si>
  <si>
    <t>Mentoría del lider/ Revisión Bibliografíca</t>
  </si>
  <si>
    <t>Fortalece la disciplina operativa y confiabilidad en los plazos.</t>
  </si>
  <si>
    <t>Conocimiento del negocio y procesos mineros</t>
  </si>
  <si>
    <t>Participar en reuniones operativas de áreas clave y documentar aprendizajes técnicos aplicables a su gestión.</t>
  </si>
  <si>
    <t xml:space="preserve">Trimestral </t>
  </si>
  <si>
    <t>Amplía su comprensión del negocio y mejora su aporte estratégico.</t>
  </si>
  <si>
    <t>1. Asumir las guardias en los periodos de descanso programado del líder, asumiendo la responsabilidad que conlleva posición.</t>
  </si>
  <si>
    <t>2. Delegar tareas operativas críticas durante su turno, definiendo responsables, plazos y criterios de éxito.</t>
  </si>
  <si>
    <t>José Chacaltana</t>
  </si>
  <si>
    <t>La delegación fortalecerá la confianza y permitirá que pueda enfocarse en decisiones estratégicas.</t>
  </si>
  <si>
    <t>1. Coordinar reuniones bimensuales con áreas usuarias para alinear prioridades y acuerdos operativos.</t>
  </si>
  <si>
    <t>Reduce fricciones y mejora colaboración transversal.</t>
  </si>
  <si>
    <t>Conocimiento limitado en geología y exploración</t>
  </si>
  <si>
    <t>1. Participar en reuniones de geología/exploración y documentar aprendizajes aplicables a su gestión.</t>
  </si>
  <si>
    <t>Amplía su comprensión del negocio minero y calidad de decisiones.</t>
  </si>
  <si>
    <t xml:space="preserve">Edinson Jauregui </t>
  </si>
  <si>
    <t>Conocimiento del negocio</t>
  </si>
  <si>
    <t>1. Delegar semanalmente 2 tareas críticas con entregables claros. Realizar seguimiento solo en puntos de control para fomentar autonomía.</t>
  </si>
  <si>
    <t>2. Revisión mensual con su mentor de avances en delegación y nivel de autonomía del equipo.</t>
  </si>
  <si>
    <t>1. Entender los kpi´s principales para la toma de decisiones y en base a ellos crear planes de trabajo para su equipo bajo la metodología smart.</t>
  </si>
  <si>
    <t>Fernando Alburqueque</t>
  </si>
  <si>
    <t>Permitirá al colaborador optimizar el uso de su tiempo, empoderar a su equipo y enfocarse en responsabilidades de mayor impacto estratégico. A través de una delegación clara, con objetivos y límites bien definidos, se incrementará la autonomía del equipo, la calidad de los entregables y la confianza mutua, reduciendo la sobrecarga operativa y favoreciendo una ejecución más eficiente</t>
  </si>
  <si>
    <t>Permitirá al colaborador comprender de manera integral los procesos, interdependencias y variables clave que impactan los resultados de la organización. Esta mayor comprensión facilitará una toma de decisiones más informada, alineada a los objetivos estratégicos y con mayor valor para el negocio, fortaleciendo su rol como referente técnico y estratégico dentro del equipo.</t>
  </si>
  <si>
    <t xml:space="preserve">Luis Osorio </t>
  </si>
  <si>
    <t>2- Revisión mensual con su mentor de avances en delegación y nivel de autonomía del equipo.</t>
  </si>
  <si>
    <t>1. Cada vez que reciba una crítica, pedido urgente o corrección de un superior o área interna, antes de responder, deberá aplicar la técnica “Hecho vs Interpretación”:
Escribir mentalmente o en una nota rápida:
Hecho: qué dijo/hizo la otra persona.
Interpretación: qué está pensando él (ej. “no confían en mí”, “me atacan”).
Responder solo sobre el hecho, sin asumir intención personal.</t>
  </si>
  <si>
    <t>1. Revisión de lectura,Los 4 acuerdos Miguel Ángel Ruíz Macías</t>
  </si>
  <si>
    <t>1. Aplicar semanalmente un protocolo de “respuesta objetiva” antes de atender requerimientos de áreas usuarias:
- Revisar el procedimiento o política vigente del área.
- Identificar si el pedido está alineado a los procesos.
- Comunicar una respuesta clara basada en hechos (no en presión o urgencia ajena).</t>
  </si>
  <si>
    <t>Julio Cisneros</t>
  </si>
  <si>
    <t>Esta acción permitirá que fortalezca su autogestión emocional, responda desde criterios técnicos y no desde impulsos, mantenga límites claros con las áreas usuarias y refuerce su credibilidad. También reduce la probabilidad de conflictos y aumenta su autonomía al tomar decisiones sin sentirse presionado.</t>
  </si>
  <si>
    <t>Wally Moscoso</t>
  </si>
  <si>
    <t>Comunicación</t>
  </si>
  <si>
    <t>1. Realizar una presentación trimestral ante la Dirección sobre los principales resultados y desafíos del área, utilizando un formato ejecutivo e impacto visual.</t>
  </si>
  <si>
    <t>2. Revisar bibliografía sobre habilidades de presentaciones efectivas</t>
  </si>
  <si>
    <t>1. Elaborar reportes ejecutivos mensuales que resuman avances, riesgos y resultados clave en máximo una página, aplicando técnicas de comunicación visual.</t>
  </si>
  <si>
    <t>2. Revisar bibliografía.</t>
  </si>
  <si>
    <t>1. Generar 2 nuevas conexiones profesionales internas o externas al trimestre, documentadas en reuniones de seguimiento.</t>
  </si>
  <si>
    <t>1. Liderar una negociación trimestral con proveedores estratégicos y/o clientes internos, alcanzando acuerdos de mejora en costos,operativos, tiempos o calidad del servicio.</t>
  </si>
  <si>
    <t>2. Negociar y cerrar al menos 1 mejora contractual o de servicio por trimestre con proveedores  y/o clientes internos clave.</t>
  </si>
  <si>
    <t>Alejandro Marroquin</t>
  </si>
  <si>
    <t>Permitirá proyectar una imagen profesional sólida, mejorando la comunicación estratégica e influyendo positivamente en la toma de decisiones.</t>
  </si>
  <si>
    <t>Permitirá fortalecer la comunicación estratégica con niveles directivos, mejorando la síntesis y el impacto del mensaje y además construir redes internas</t>
  </si>
  <si>
    <t>Fomentará habilidades de negociación estratégica orientadas al beneficio mutuo y la sostenibilidad de la relación con proveedores.</t>
  </si>
  <si>
    <t>Wilbert Risco</t>
  </si>
  <si>
    <t>Desarrollar Analítica de datos aplicada a operaciones</t>
  </si>
  <si>
    <t>Conocimientos en el área de Geología y exploración</t>
  </si>
  <si>
    <t>2. Establecer reuniones de planificación, seguimiento y feedback individual (1.1)</t>
  </si>
  <si>
    <t>3. Planificar y ejecutar semanalmente recorridos de supervisión con el equipo, asegurando cumplimiento del 100% de las tareas asignadas y resolución de incidencias operativas en menos de 48 horas.</t>
  </si>
  <si>
    <t>1. Diseñar un dashboard mensual de indicadores operativos y económicos con protocolo de validación de datos (checklist de consistencia y trazabilidad).</t>
  </si>
  <si>
    <t>1. Participar activamente en las reuniones de planificación de exploraciones-Tomar nota de conceptos geológicos, criterios de perforación y variables de campo.-Elaborar un breve resumen de aprendizaje técnico posterior a cada reunión.</t>
  </si>
  <si>
    <t xml:space="preserve">
1. Acompañar al equipo geológico al menos una vez al mes en campo -Observar la toma de muestras, registros en bitácora y criterios de ubicación de perforaciones.- Identificar los puntos críticos del proceso (riesgos, tiempos, logística).</t>
  </si>
  <si>
    <t>Manuel Urbano</t>
  </si>
  <si>
    <t>Desarrollará autodisciplina y enfoque, optimizando la gestión de su tiempo y evitando la saturación operativa. Promover cultura de planificación y enfoque en prioridades. Fortalecerá su liderazgo y ascendencia en e equipo</t>
  </si>
  <si>
    <t>Mejorar de análisis de datos y mejora la detección temprana de errores con comparativos mes a mes.</t>
  </si>
  <si>
    <t>Permitirá comprender los fundamentos de geología y exploración permitirá a Wilbert interpretar mejor la información técnica, anticiparse a riesgos operativos y tomar decisiones basadas en contexto, reforzando su aporte al negocio y la comunicación con equipos técnicos.</t>
  </si>
  <si>
    <t>Victor Zafra</t>
  </si>
  <si>
    <t>1. Diseñar al menos 1 propuesta trimestral de mejora en la gestión de supervisión en la empresas contratistas, presentando mensualmente al menos una iniciativa que optimice tiempo o recursos.</t>
  </si>
  <si>
    <t>1. Liderar 1 reunión al mes estableciendo un QQC con Objetivos smart, con el equipo de supervisión de seguridad de las empresas contratistas.</t>
  </si>
  <si>
    <t>Luis Rodriguez</t>
  </si>
  <si>
    <t>Reforzar pensamiento lateral y búsqueda de soluciones innovadoras.</t>
  </si>
  <si>
    <t>Fomentar la seguridad en su criterio profesional.</t>
  </si>
  <si>
    <t>Yoselin Valentin</t>
  </si>
  <si>
    <t>1. Practicar la regulación emocional en reuniones o situaciones de conflicto, aplicando la técnica 'pausa–respira–pregunta' y solicitando feedback inmediato del mentor.</t>
  </si>
  <si>
    <t xml:space="preserve">
1. Practicar escucha activa y validación emocional: en cada reunión relevante, cerrar intervenciones con una frase empática (“Entiendo tu punto”, “Gracias por aclararlo”) para evitar reacciones impulsivas.</t>
  </si>
  <si>
    <t>1. Identificar y comunicar con el mentor 2 situaciones donde experimente frustración, analizando qué gatilló la emoción y cómo podría manejarla mejor.</t>
  </si>
  <si>
    <t xml:space="preserve">1. Implementar una matriz semanal, estableciendo prioridades y registrar cumplimiento de tareas críticas dentro del 90% de los plazos planificados. </t>
  </si>
  <si>
    <t>Diana Cavero</t>
  </si>
  <si>
    <t>Permitirá manejar mejor la presión, fortalecer su empatía y adaptabilidad como líder.
Fortalece la autorregulación y mejora la percepción externa de su profesionalismo
Genera una comunicación más asertiva, reduce fricción y mejora relaciones interárea.</t>
  </si>
  <si>
    <t>Fomentará planificación efectiva, foco y mayor productividad personal.</t>
  </si>
  <si>
    <t>Carmen Valenzuela</t>
  </si>
  <si>
    <t>1. Diseñar y mantener un cronograma semanal de consultoras y permisos estratégicos, con control de hitos, responsables y desviaciones.</t>
  </si>
  <si>
    <t>1.  Bibliografía sugerida, con resumen y acta de compromisos: a. Cómo ganar amigos e influir sobre las personas — Dale Carnegie/b. Conversaciones Cruciales — Patterson, Grenny, McMillan &amp; Al Switzler</t>
  </si>
  <si>
    <t>Sharon Huaman</t>
  </si>
  <si>
    <t>Fortalece la disciplina de planificación, anticipación de riesgos y control del avance.</t>
  </si>
  <si>
    <t>“La revisión de esta bibliografía permitirá al colaborador tomar conciencia del impacto de su estilo comunicacional, fortalecer su habilidad para gestionar conversaciones difíciles y establecer compromisos claros de cambio conductual. La elaboración de resúmenes y actas de compromiso facilitará la transferencia del aprendizaje a la práctica diaria, apoyando una mejora sostenible en la relación con áreas usuarias y clientes internos.”</t>
  </si>
  <si>
    <t>Control de Portafolio de Proyectos</t>
  </si>
  <si>
    <t>1.Participar en al menos 2 reuniones interáreas con operaciones al mes, documentando aprendizajes en fichas de procesos.</t>
  </si>
  <si>
    <t>1.Identificar y registrar al menos 3 riesgos potenciales por proyecto antes de la fase de ejecución.</t>
  </si>
  <si>
    <t>1. Elaborar y presentar un tablero mensual con el estado de los proyectos, asegurando que al menos el 90% cuente con información actualizada y validada.</t>
  </si>
  <si>
    <t>Ricardo Ramírez</t>
  </si>
  <si>
    <t>Iniciar con procesos básicos y progresar en complejidad.</t>
  </si>
  <si>
    <t>Integrar matriz de riesgos en la planificación.</t>
  </si>
  <si>
    <t>Priorizar proyectos críticos del portafolio.</t>
  </si>
  <si>
    <t>BUENO HUARANGA ANIBAL REYNALDO</t>
  </si>
  <si>
    <t>Omar Quevedo</t>
  </si>
  <si>
    <t>F. INICIO</t>
  </si>
  <si>
    <t>F.FIN</t>
  </si>
  <si>
    <t>INDICADOR</t>
  </si>
  <si>
    <t>2. Liderar capacitación sobre el curso con el equipo a cargo.</t>
  </si>
  <si>
    <t>15 de abril del 2026</t>
  </si>
  <si>
    <t>1. Referencia bibliográfica con resumen y acta de compromisos.
A. Cómo ganar amigos e influir sobre las personas - Dale Carnegie
B. Conversaciones Cruciales - 
C. Inteligencia emocional - Daniel Goleman</t>
  </si>
  <si>
    <t xml:space="preserve">1. Validar necesidades de la empresa de intermediación laboral, (Mediante reuniones lideradas por él) para proponer posibles soluciones en donde se evaluen la disminución de conflicto y sea aprobado por el jefe del área. (Presentar un acta de compromisos para buen relacionamiento) </t>
  </si>
  <si>
    <t>1. Llevar curso de Liderazgo transaccional.</t>
  </si>
  <si>
    <t>TÉCNICA</t>
  </si>
  <si>
    <t xml:space="preserve">1. Liderar booking de despacho de contenedores y granel de inicio a fin. (1 por trimestre) 
</t>
  </si>
  <si>
    <t xml:space="preserve">2. Acompañar en la administración de contrato Cotecna e Impala. </t>
  </si>
  <si>
    <t>3. Gestionar coordinaciones con área de costos y presupuestos.</t>
  </si>
  <si>
    <t xml:space="preserve">4. Manejo de SAP. (Generación de solped, Sole Source, HES). </t>
  </si>
  <si>
    <t xml:space="preserve">PENSAMIENTO ESTRATÉGICO </t>
  </si>
  <si>
    <t>3. Liderar reuniones con Impala. (Bitacora de logros y avances)</t>
  </si>
  <si>
    <t>INFLUENCIA</t>
  </si>
  <si>
    <t>1. Lograr y mejorar los reportes que el área de recepción y despacho presenta indicadores en Power BI.</t>
  </si>
  <si>
    <t>2.  Liderar proyecto de mejora en WAPSA.  (Pendiente de asignar)</t>
  </si>
  <si>
    <t xml:space="preserve">4. Planificar salida extralaboral con el equipo. (Frecuencua única) </t>
  </si>
  <si>
    <t>CASAS INGA LUIS MIGUEL</t>
  </si>
  <si>
    <t>1. Conocer información clave del área y del negocio y presentarlo mediante un informe mensual.</t>
  </si>
  <si>
    <t xml:space="preserve">2. Lograr una planificación mensual del área. Validar la eficacia del plan. </t>
  </si>
  <si>
    <t>3. Bibliografía recomendada con acta de compromisos.:
Cómo ganar amigos e influir sobre las personas.
Conversaciones Cruciales</t>
  </si>
  <si>
    <t>HIDALGO DEL PIELAGO SERGIO LUIS</t>
  </si>
  <si>
    <t>Capacidad de análisis y gestión</t>
  </si>
  <si>
    <t xml:space="preserve">1. Análisis de variación de flete entre lo actual y el histórico, para entender el mercado y la variación de fletes. Entregar un informe con el análisis y los hallazgos. </t>
  </si>
  <si>
    <t>Francisco Anglade</t>
  </si>
  <si>
    <t>2. Elaborar una matriz de riesgos de proveedores de fletes, para identificar los riesgos que puede representar un proveedor antes de ser contratado (Legal financiero, operativo)  y presentarlo en un inforrme.</t>
  </si>
  <si>
    <t>Organización y planificación</t>
  </si>
  <si>
    <t xml:space="preserve">1. Realizar un agenda operativa semanal con el objetivo de que se prioricen las actividades criticas de la semana y en función de ello hacer seguimiento. </t>
  </si>
  <si>
    <t>2. Implementar Check list operativos, en cada punto de las actividades realizadas por embarque, para reducir errores en procesos documentarios</t>
  </si>
  <si>
    <t>1. Resumen ejecutivo de reuniones con stakeholders, 2 veces al año en convenciones mineras, y realizar el seguimiento de los acuerdos generados.</t>
  </si>
  <si>
    <t>KU CHUNG GIAN EDUARDO</t>
  </si>
  <si>
    <t xml:space="preserve">1. Facilitador de reuniones con sindicatos, para adquirir la experiencia de negociación, tipo de comunicación, identificar miembros dentro de la negociación y su tipo de rol. Facilitar para ello controversias, asambleas. Su involucramiento implicará participación 2 veces al mes. Asegurar que los pendientes se cumplan antes de la siguiente reunión. </t>
  </si>
  <si>
    <t>CASTELLANOS PORTELLA MIGUEL</t>
  </si>
  <si>
    <t>2. Involucrarse en la negociación y defensa de clausulas en negociaciones de convenios colectivos. Lograr la mayor cantidad de clausulas firmadas y negociadas.</t>
  </si>
  <si>
    <t>1. Bibliografía sugerida para mejorar inteligencia emocional y comunicación</t>
  </si>
  <si>
    <t>2. Acompañamiento a áreas involucradas en la entrega de medida disciplinaria a solicitud de la jefatura.</t>
  </si>
  <si>
    <t xml:space="preserve">1. Acompañamiento a empresas contratistas (De más de 100) para evitar incumplimiento de políticas y obligaciones laborales. (Auditoria) Levantamiento de observaciones y asegurar que sean propuestas sostenibles en el tiempo. </t>
  </si>
  <si>
    <t xml:space="preserve">Reuniones de acompañamiento con EECC para asesorar según problematicas presentadas. </t>
  </si>
  <si>
    <t xml:space="preserve">MANCHEGO BEJARANO AMILCAR </t>
  </si>
  <si>
    <t xml:space="preserve">1. Liderazgo del proyecto (Temas de instrumentación y control)  y lograr cumplimiento de crongrama con 0 accidentes. 
</t>
  </si>
  <si>
    <t>PUICON JIMENEZ LUIS</t>
  </si>
  <si>
    <t>Conocimiento en geología y exploración</t>
  </si>
  <si>
    <t xml:space="preserve">1. Curso de: Especialización en Geología Estructural y 
Exploración Minera. 
</t>
  </si>
  <si>
    <t>2. Entregar un informe sobre como este curso le aporta en su formación y el impacto en los proyectos del área.</t>
  </si>
  <si>
    <t>SALAVERRY UTIA JOSE ANTONIO</t>
  </si>
  <si>
    <t>Atención al detalle</t>
  </si>
  <si>
    <t>Revisión de informes auditados, y presentación del mismo de manera anual.</t>
  </si>
  <si>
    <t>AZAÑERO SAONA DAVID</t>
  </si>
  <si>
    <t>Revisión de politicas, procedimiento e instructivos y actualización según hallazgos 3 veces al año y presentarlas en un informe</t>
  </si>
  <si>
    <t xml:space="preserve">Planificación </t>
  </si>
  <si>
    <t>1. Organización de agendas de reunión (Material a presentar previamente revisado). Y presentar material utilizado.</t>
  </si>
  <si>
    <t>1. Organizar y presentar distribución de tareas semanales. (En agenda o herramienta digital)</t>
  </si>
  <si>
    <t>1. Bibliografía recomendada y capacitación al equipo.</t>
  </si>
  <si>
    <t>TAPIA CHUQUIMAMANI EDWIN EVARISTO</t>
  </si>
  <si>
    <t>ATUNCAR APESTEGUI WILLIAM</t>
  </si>
  <si>
    <t xml:space="preserve">2. Elaborar el reporte de condición de equipos. </t>
  </si>
  <si>
    <t>Iniciativa</t>
  </si>
  <si>
    <t>2. Sistema funcionando, Módulo funcional y análisis del mismo.</t>
  </si>
  <si>
    <t>Líderazgo</t>
  </si>
  <si>
    <t xml:space="preserve">1. Bibliografía recomendada:  y presente resumen, acta de compromisos y capacitación.
A. Cómo ganar amigos e influir sobre las personas – Dale Carnegie
B. Los 7 hábitos de la gente altamente efectiva – Stephen R. Covey
C. Inteligencia emocional – Daniel Goleman
</t>
  </si>
  <si>
    <t xml:space="preserve">2. Reunirse con áreas clave para validar necesidades. </t>
  </si>
  <si>
    <t>1. Reuniones con el área usuaria para dar informes y avances de proyecto.</t>
  </si>
  <si>
    <t>1. Aprobación de proyecto e implementación hasta la finalización:  Instalación de strain gage a  la flota de cargadores.</t>
  </si>
  <si>
    <t>1. Asegurar entregables mensuales de KPI'S del área, solicitando información a todo el equipo para informe consolidado.</t>
  </si>
  <si>
    <t>CARRASCO CANTORAL JUAN JESUS</t>
  </si>
  <si>
    <t>1- Referencia bibliografica con presentación de resumen y acta de compromisos: 
a. Cómo ganar amigos e influir sobre las personas — Dale Carnegie
b. Conversaciones Cruciales — Patterson, Grenny, McMillan &amp; Al Switzler
c. Los 7 hábitos de la gente altamente efectiva — Stephen R. Covey</t>
  </si>
  <si>
    <t>GUEVARA YOVERA VIRGILIO</t>
  </si>
  <si>
    <t xml:space="preserve">1. Asumir el liderazgo con Almacenes de mina y liderar con contratista de almacenamiento temporal en Lima. (Ambas son semanales) </t>
  </si>
  <si>
    <t xml:space="preserve">1. Derivar consultas para la autogestión por parte de los usuarios y no resolverlas él. </t>
  </si>
  <si>
    <t>Planificación y priorización</t>
  </si>
  <si>
    <t>2. Consultas gestionadas por el, deben ser desviaciones por parte del contratista para asegurar cumplimiento de tiempos.</t>
  </si>
  <si>
    <t>Herramientas o Sistemas de datos</t>
  </si>
  <si>
    <t>1. Llevar un curso de excel avanzado y análisis de datos.</t>
  </si>
  <si>
    <t>MORALES MENDRO YESENIA MILAGRITOS</t>
  </si>
  <si>
    <t>1. Hacer análisis para lograr el mantener disponibilidad de mantenimiento,  95%</t>
  </si>
  <si>
    <t>AGUILAR LAZO RICHARD</t>
  </si>
  <si>
    <t xml:space="preserve">Gestión de mantenimiento </t>
  </si>
  <si>
    <t>2. En función del Presupuesto asignado al área, mensual y anual y sobre esto realizar análisis o sugerir eficiencias.</t>
  </si>
  <si>
    <t xml:space="preserve">Asegurar cumplimiento de KPI'S: MTTR (Tiempo medio en reparación)  y  MTBF (tiempo medio entre fallas) con medición semanal. Meta
1. Plan de atención de correctivos. 
2. Conocimiento básico de la parte técnica del equipo. (Funcionabilidad del sistema). </t>
  </si>
  <si>
    <t>1. Bibliografía recomendada (Diciembre) : Los 7 Hábitos – Stephen Covey // Cómo ganar amigos e influir sobre las personas – Dale Carnegie // La paradoja del poder – Dacher Keltner</t>
  </si>
  <si>
    <t xml:space="preserve">2. Liderar parada de planta de Enero, (Trabajo puntual dentro de una parada) Ejecución con 0 accidentes,  No hayan retrabajos y cumplimiento de tiempo. </t>
  </si>
  <si>
    <t>ISLA BAZAN PIERO FERNANDO</t>
  </si>
  <si>
    <t>NICOLAS SOLORZANO</t>
  </si>
  <si>
    <t>JOSE QUINCHO</t>
  </si>
  <si>
    <t>Acountability y formacion de su equipos</t>
  </si>
  <si>
    <t>1. Crear planes de trabajo con los miembros de su equipo</t>
  </si>
  <si>
    <t>MUÑOZ VERON ALFONSO</t>
  </si>
  <si>
    <t>Visón estrategica</t>
  </si>
  <si>
    <t>1. Crear plan para el 2026 (taller con su equipo)
2. Plan de delegación 2026 
3. Plan de control y seguimiento</t>
  </si>
  <si>
    <t>Geometalurgia</t>
  </si>
  <si>
    <t>Formacion externa
Impacto de geometarlguia en la producción
1. Plan de mejoramiento</t>
  </si>
  <si>
    <t>M2M</t>
  </si>
  <si>
    <t>Formacion con Alfonso
Impacto de geometarlguia en la producción
1. Plan de mejoramiento</t>
  </si>
  <si>
    <t>MORENO ALVAN MIGUEL ANGEL ERNESTO</t>
  </si>
  <si>
    <t>Gestion integral de proyectos</t>
  </si>
  <si>
    <t>Diplomado o Estudio
Tecnicas
PMO y demas tecnicas de gestión</t>
  </si>
  <si>
    <t>CARRANZA ESCALANTE JORGE</t>
  </si>
  <si>
    <t>1. Conocmiento de su equipo.
2. Asumir el rol de dirigir la reunion semanal.
3. Presentar mensualmente rendicion de cuentas.
STORY TELLING</t>
  </si>
  <si>
    <t>Disrupcción</t>
  </si>
  <si>
    <t>1. Presentacion de nuevas ideas y enfoques (semanal)
2. Sesiones de ideación con su equipo</t>
  </si>
  <si>
    <t>1. Leer un articulo de Inteligencia Emocional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</si>
</sst>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Aptos Narrow"/>
      <family val="2"/>
      <scheme val="minor"/>
    </font>
    <font>
      <sz val="10"/>
      <name val="Arial"/>
      <family val="2"/>
    </font>
    <font>
      <sz val="11"/>
      <color theme="1"/>
      <name val="Lato"/>
      <family val="2"/>
    </font>
    <font>
      <b/>
      <sz val="11"/>
      <color theme="0"/>
      <name val="Lato"/>
      <family val="2"/>
    </font>
    <font>
      <sz val="11"/>
      <color rgb="FFFF0000"/>
      <name val="Lato"/>
      <family val="2"/>
    </font>
    <font>
      <sz val="11"/>
      <color theme="1"/>
      <name val="Arial"/>
      <family val="2"/>
    </font>
    <font>
      <sz val="11"/>
      <color rgb="FF000000"/>
      <name val="Calibri"/>
      <family val="2"/>
    </font>
  </fonts>
  <fills count="4">
    <fill>
      <patternFill patternType="none"/>
    </fill>
    <fill>
      <patternFill patternType="gray125"/>
    </fill>
    <fill>
      <patternFill patternType="solid">
        <fgColor theme="0"/>
        <bgColor indexed="64"/>
      </patternFill>
    </fill>
    <fill>
      <patternFill patternType="solid">
        <fgColor theme="3" tint="0.249977111117893"/>
        <bgColor indexed="64"/>
      </patternFill>
    </fill>
  </fills>
  <borders count="23">
    <border>
      <left/>
      <right/>
      <top/>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diagonal/>
    </border>
    <border>
      <left style="thin">
        <color theme="0" tint="-0.499984740745262"/>
      </left>
      <right/>
      <top style="thin">
        <color theme="0" tint="-0.499984740745262"/>
      </top>
      <bottom style="thin">
        <color indexed="64"/>
      </bottom>
      <diagonal/>
    </border>
    <border>
      <left/>
      <right style="thin">
        <color theme="0" tint="-0.499984740745262"/>
      </right>
      <top style="thin">
        <color theme="0" tint="-0.499984740745262"/>
      </top>
      <bottom style="thin">
        <color indexed="64"/>
      </bottom>
      <diagonal/>
    </border>
    <border>
      <left style="thin">
        <color theme="0" tint="-0.499984740745262"/>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theme="0" tint="-0.499984740745262"/>
      </left>
      <right style="thin">
        <color indexed="64"/>
      </right>
      <top style="thin">
        <color theme="0" tint="-0.499984740745262"/>
      </top>
      <bottom/>
      <diagonal/>
    </border>
    <border>
      <left/>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indexed="64"/>
      </right>
      <top/>
      <bottom/>
      <diagonal/>
    </border>
    <border>
      <left style="thin">
        <color indexed="64"/>
      </left>
      <right style="thin">
        <color indexed="64"/>
      </right>
      <top style="thin">
        <color theme="0" tint="-0.499984740745262"/>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indexed="64"/>
      </top>
      <bottom/>
      <diagonal/>
    </border>
    <border>
      <left style="thin">
        <color indexed="64"/>
      </left>
      <right style="thin">
        <color theme="0" tint="-0.499984740745262"/>
      </right>
      <top style="thin">
        <color indexed="64"/>
      </top>
      <bottom/>
      <diagonal/>
    </border>
    <border>
      <left/>
      <right style="thin">
        <color indexed="64"/>
      </right>
      <top style="thin">
        <color indexed="64"/>
      </top>
      <bottom/>
      <diagonal/>
    </border>
  </borders>
  <cellStyleXfs count="2">
    <xf numFmtId="0" fontId="0" fillId="0" borderId="0"/>
    <xf numFmtId="0" fontId="1" fillId="0" borderId="0"/>
  </cellStyleXfs>
  <cellXfs count="61">
    <xf numFmtId="0" fontId="0" fillId="0" borderId="0" xfId="0"/>
    <xf numFmtId="0" fontId="0" fillId="0" borderId="2" xfId="0"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applyAlignment="1">
      <alignment vertical="center" wrapText="1"/>
    </xf>
    <xf numFmtId="0" fontId="2" fillId="2" borderId="2" xfId="0" applyFont="1" applyFill="1" applyBorder="1" applyAlignment="1">
      <alignment vertical="center" wrapText="1"/>
    </xf>
    <xf numFmtId="0" fontId="2" fillId="0" borderId="2" xfId="0" applyFont="1" applyBorder="1" applyAlignment="1">
      <alignment horizontal="center" wrapText="1"/>
    </xf>
    <xf numFmtId="0" fontId="3" fillId="3" borderId="3" xfId="0" applyFont="1" applyFill="1" applyBorder="1" applyAlignment="1">
      <alignment horizontal="center" vertical="center" wrapText="1"/>
    </xf>
    <xf numFmtId="0" fontId="2" fillId="0" borderId="0" xfId="0" applyFont="1" applyAlignment="1">
      <alignment wrapText="1"/>
    </xf>
    <xf numFmtId="0" fontId="3" fillId="3" borderId="1"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2" fillId="0" borderId="2" xfId="0" applyFont="1" applyBorder="1" applyAlignment="1">
      <alignment horizontal="left" vertical="center" wrapText="1"/>
    </xf>
    <xf numFmtId="0" fontId="2" fillId="0" borderId="0" xfId="0" applyFont="1" applyAlignment="1">
      <alignment horizontal="center" wrapText="1"/>
    </xf>
    <xf numFmtId="9" fontId="2" fillId="0" borderId="2" xfId="0" applyNumberFormat="1" applyFont="1" applyBorder="1" applyAlignment="1">
      <alignment horizontal="center" vertical="center" wrapText="1"/>
    </xf>
    <xf numFmtId="0" fontId="2" fillId="0" borderId="8" xfId="0" applyFont="1" applyBorder="1" applyAlignment="1">
      <alignment horizontal="center" vertical="center" wrapText="1"/>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0" borderId="7" xfId="0" applyFont="1" applyBorder="1" applyAlignment="1">
      <alignment vertical="center" wrapText="1"/>
    </xf>
    <xf numFmtId="0" fontId="0" fillId="0" borderId="0" xfId="0" applyAlignment="1">
      <alignment wrapText="1"/>
    </xf>
    <xf numFmtId="0" fontId="2" fillId="0" borderId="2" xfId="0" applyFont="1" applyBorder="1" applyAlignment="1">
      <alignment wrapText="1"/>
    </xf>
    <xf numFmtId="0" fontId="2" fillId="0" borderId="0" xfId="0" applyFont="1" applyAlignment="1">
      <alignment horizontal="center" vertical="center" wrapText="1"/>
    </xf>
    <xf numFmtId="0" fontId="0" fillId="0" borderId="2" xfId="0" applyBorder="1" applyAlignment="1">
      <alignment wrapText="1"/>
    </xf>
    <xf numFmtId="0" fontId="2" fillId="0" borderId="8" xfId="0" applyFont="1" applyBorder="1" applyAlignment="1">
      <alignment horizontal="center" wrapText="1"/>
    </xf>
    <xf numFmtId="0" fontId="0" fillId="0" borderId="2" xfId="0" applyBorder="1" applyAlignment="1">
      <alignment vertical="center" wrapText="1"/>
    </xf>
    <xf numFmtId="0" fontId="2" fillId="0" borderId="9" xfId="0" applyFont="1" applyBorder="1" applyAlignment="1">
      <alignment horizontal="center" vertical="center" wrapText="1"/>
    </xf>
    <xf numFmtId="0" fontId="6" fillId="0" borderId="2" xfId="0" applyFont="1" applyBorder="1"/>
    <xf numFmtId="0" fontId="3" fillId="3" borderId="12" xfId="0" applyFont="1" applyFill="1" applyBorder="1" applyAlignment="1">
      <alignment horizontal="center" vertical="center"/>
    </xf>
    <xf numFmtId="0" fontId="3" fillId="3" borderId="14" xfId="0" applyFont="1" applyFill="1" applyBorder="1" applyAlignment="1">
      <alignment horizontal="center" vertical="center"/>
    </xf>
    <xf numFmtId="0" fontId="2" fillId="0" borderId="1" xfId="0" applyFont="1" applyBorder="1" applyAlignment="1">
      <alignment vertical="center" wrapText="1"/>
    </xf>
    <xf numFmtId="0" fontId="2" fillId="0" borderId="10" xfId="0" applyFont="1" applyBorder="1" applyAlignment="1">
      <alignment vertical="center" wrapText="1"/>
    </xf>
    <xf numFmtId="0" fontId="2" fillId="0" borderId="16" xfId="0" applyFont="1" applyBorder="1" applyAlignment="1">
      <alignment vertical="center" wrapText="1"/>
    </xf>
    <xf numFmtId="0" fontId="2" fillId="0" borderId="2" xfId="0" applyFont="1" applyBorder="1" applyAlignment="1">
      <alignment vertical="center"/>
    </xf>
    <xf numFmtId="9" fontId="2" fillId="0" borderId="2" xfId="0" applyNumberFormat="1" applyFont="1" applyBorder="1" applyAlignment="1">
      <alignment vertical="center" wrapText="1"/>
    </xf>
    <xf numFmtId="0" fontId="2" fillId="0" borderId="3" xfId="0" applyFont="1" applyBorder="1" applyAlignment="1">
      <alignment horizontal="center" vertical="center" wrapText="1"/>
    </xf>
    <xf numFmtId="0" fontId="6" fillId="0" borderId="11" xfId="0" applyFont="1" applyBorder="1" applyAlignment="1">
      <alignment vertical="center"/>
    </xf>
    <xf numFmtId="0" fontId="2" fillId="0" borderId="17" xfId="0" applyFont="1" applyBorder="1" applyAlignment="1">
      <alignment vertical="center" wrapText="1"/>
    </xf>
    <xf numFmtId="0" fontId="2" fillId="0" borderId="18" xfId="0" applyFont="1" applyBorder="1" applyAlignment="1">
      <alignment vertical="center" wrapText="1"/>
    </xf>
    <xf numFmtId="0" fontId="2" fillId="0" borderId="19" xfId="0" applyFont="1" applyBorder="1" applyAlignment="1">
      <alignment vertical="center" wrapText="1"/>
    </xf>
    <xf numFmtId="9" fontId="2" fillId="0" borderId="19" xfId="0" applyNumberFormat="1" applyFont="1" applyBorder="1" applyAlignment="1">
      <alignment horizontal="center" vertical="center" wrapText="1"/>
    </xf>
    <xf numFmtId="9" fontId="2" fillId="0" borderId="9" xfId="0" applyNumberFormat="1" applyFont="1" applyBorder="1" applyAlignment="1">
      <alignment vertical="center" wrapText="1"/>
    </xf>
    <xf numFmtId="9" fontId="2" fillId="0" borderId="19" xfId="0" applyNumberFormat="1" applyFont="1" applyBorder="1" applyAlignment="1">
      <alignment vertical="center" wrapText="1"/>
    </xf>
    <xf numFmtId="0" fontId="2" fillId="0" borderId="15" xfId="0" applyFont="1" applyBorder="1" applyAlignment="1">
      <alignment vertical="center" wrapText="1"/>
    </xf>
    <xf numFmtId="9" fontId="2" fillId="2" borderId="2" xfId="0" applyNumberFormat="1" applyFont="1" applyFill="1" applyBorder="1" applyAlignment="1">
      <alignment horizontal="center" vertical="center" wrapText="1"/>
    </xf>
    <xf numFmtId="0" fontId="2" fillId="0" borderId="20" xfId="0" applyFont="1" applyBorder="1" applyAlignment="1">
      <alignment vertical="center" wrapText="1"/>
    </xf>
    <xf numFmtId="0" fontId="0" fillId="0" borderId="21" xfId="0" applyBorder="1" applyAlignment="1">
      <alignment vertical="center" wrapText="1"/>
    </xf>
    <xf numFmtId="0" fontId="2" fillId="0" borderId="22" xfId="0" applyFont="1" applyBorder="1" applyAlignment="1">
      <alignment vertical="center" wrapText="1"/>
    </xf>
    <xf numFmtId="0" fontId="2" fillId="0" borderId="7" xfId="0" applyFont="1" applyBorder="1" applyAlignment="1">
      <alignment horizontal="center" vertical="center" wrapText="1"/>
    </xf>
    <xf numFmtId="0" fontId="2" fillId="2" borderId="19" xfId="0" applyFont="1" applyFill="1" applyBorder="1" applyAlignment="1">
      <alignment vertical="center" wrapText="1"/>
    </xf>
    <xf numFmtId="0" fontId="0" fillId="0" borderId="9" xfId="0" applyBorder="1" applyAlignment="1">
      <alignment vertical="center" wrapText="1"/>
    </xf>
    <xf numFmtId="0" fontId="0" fillId="0" borderId="19" xfId="0" applyBorder="1" applyAlignment="1">
      <alignment vertical="center" wrapText="1"/>
    </xf>
    <xf numFmtId="9" fontId="2" fillId="0" borderId="1" xfId="0" applyNumberFormat="1" applyFont="1" applyBorder="1" applyAlignment="1">
      <alignment vertical="center" wrapText="1"/>
    </xf>
    <xf numFmtId="0" fontId="6" fillId="0" borderId="19" xfId="0" applyFont="1" applyBorder="1"/>
    <xf numFmtId="0" fontId="2" fillId="0" borderId="13"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3" xfId="0" applyFont="1" applyBorder="1" applyAlignment="1">
      <alignment horizontal="center" vertical="center"/>
    </xf>
    <xf numFmtId="0" fontId="2" fillId="0" borderId="14" xfId="0" applyFont="1" applyBorder="1" applyAlignment="1">
      <alignment horizontal="center" vertical="center"/>
    </xf>
    <xf numFmtId="17" fontId="2" fillId="0" borderId="13" xfId="0" applyNumberFormat="1" applyFont="1" applyBorder="1" applyAlignment="1">
      <alignment horizontal="center" vertical="center"/>
    </xf>
    <xf numFmtId="0" fontId="3" fillId="3" borderId="6" xfId="0" applyFont="1" applyFill="1" applyBorder="1" applyAlignment="1">
      <alignment horizontal="center" vertical="center" wrapText="1"/>
    </xf>
    <xf numFmtId="0" fontId="3" fillId="3" borderId="0" xfId="0" applyFont="1" applyFill="1" applyAlignment="1">
      <alignment horizontal="center" vertical="center" wrapText="1"/>
    </xf>
    <xf numFmtId="16" fontId="2" fillId="0" borderId="13" xfId="0" applyNumberFormat="1" applyFont="1" applyBorder="1" applyAlignment="1">
      <alignment horizontal="center" vertical="center"/>
    </xf>
  </cellXfs>
  <cellStyles count="2">
    <cellStyle name="Normal" xfId="0" builtinId="0"/>
    <cellStyle name="Normal 2" xfId="1" xr:uid="{00000000-0005-0000-0000-000001000000}"/>
  </cellStyles>
  <dxfs count="1">
    <dxf>
      <fill>
        <patternFill patternType="gray0625">
          <bgColor theme="2" tint="-0.499984740745262"/>
        </patternFill>
      </fill>
    </dxf>
  </dxfs>
  <tableStyles count="1" defaultTableStyle="TableStyleMedium2" defaultPivotStyle="PivotStyleLight16">
    <tableStyle name="Estilo de tabla 1" pivot="0" count="1" xr9:uid="{00000000-0011-0000-FFFF-FFFF00000000}">
      <tableStyleElement type="wholeTabl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N413"/>
  <sheetViews>
    <sheetView showGridLines="0" tabSelected="1" zoomScale="80" zoomScaleNormal="80" zoomScaleSheetLayoutView="50" workbookViewId="0">
      <selection activeCell="A3" sqref="A3:I413"/>
    </sheetView>
  </sheetViews>
  <sheetFormatPr baseColWidth="10" defaultColWidth="11.42578125" defaultRowHeight="18" x14ac:dyDescent="0.35"/>
  <cols>
    <col min="1" max="1" width="26.140625" style="7" customWidth="1"/>
    <col min="2" max="3" width="50.85546875" style="7" customWidth="1"/>
    <col min="4" max="4" width="169.28515625" style="7" customWidth="1"/>
    <col min="5" max="5" width="43.42578125" style="7" customWidth="1"/>
    <col min="6" max="6" width="43" style="13" customWidth="1"/>
    <col min="7" max="7" width="58" style="7" customWidth="1"/>
    <col min="8" max="9" width="41.85546875" style="7" customWidth="1"/>
    <col min="10" max="10" width="35.85546875" style="7" customWidth="1"/>
    <col min="11" max="11" width="30.42578125" style="7" customWidth="1"/>
    <col min="12" max="12" width="144" style="7" customWidth="1"/>
    <col min="13" max="16384" width="11.42578125" style="7"/>
  </cols>
  <sheetData>
    <row r="2" spans="1:14" x14ac:dyDescent="0.35">
      <c r="A2" s="6" t="s">
        <v>0</v>
      </c>
      <c r="B2" s="6" t="s">
        <v>1</v>
      </c>
      <c r="C2" s="6" t="s">
        <v>2</v>
      </c>
      <c r="D2" s="6" t="s">
        <v>3</v>
      </c>
      <c r="E2" s="8" t="s">
        <v>4</v>
      </c>
      <c r="F2" s="16" t="s">
        <v>5</v>
      </c>
      <c r="G2" s="17" t="s">
        <v>6</v>
      </c>
      <c r="H2" s="8" t="s">
        <v>7</v>
      </c>
      <c r="I2" s="9" t="s">
        <v>8</v>
      </c>
      <c r="J2" s="58" t="s">
        <v>9</v>
      </c>
      <c r="K2" s="59"/>
      <c r="L2" s="9" t="s">
        <v>10</v>
      </c>
    </row>
    <row r="3" spans="1:14" ht="24.75" customHeight="1" x14ac:dyDescent="0.35">
      <c r="A3" s="3" t="s">
        <v>11</v>
      </c>
      <c r="B3" s="18" t="s">
        <v>193</v>
      </c>
      <c r="C3" s="2" t="s">
        <v>25</v>
      </c>
      <c r="D3" s="29" t="s">
        <v>194</v>
      </c>
      <c r="E3" s="30" t="s">
        <v>195</v>
      </c>
      <c r="F3" s="3" t="s">
        <v>38</v>
      </c>
      <c r="G3" s="33" t="s">
        <v>196</v>
      </c>
      <c r="H3" s="2" t="s">
        <v>197</v>
      </c>
      <c r="I3" s="35" t="s">
        <v>112</v>
      </c>
      <c r="J3" s="10" t="s">
        <v>20</v>
      </c>
      <c r="K3" s="2" t="s">
        <v>198</v>
      </c>
      <c r="L3" s="5" t="s">
        <v>581</v>
      </c>
      <c r="M3" s="7" t="str">
        <f>IFERROR(VLOOKUP(H3,#REF!,2,FALSE),"-")</f>
        <v>-</v>
      </c>
      <c r="N3" s="7" t="str">
        <f t="shared" ref="N3:N8" si="0">LEFT(I3,1)</f>
        <v>1</v>
      </c>
    </row>
    <row r="4" spans="1:14" ht="24.75" customHeight="1" x14ac:dyDescent="0.35">
      <c r="A4" s="3" t="s">
        <v>11</v>
      </c>
      <c r="B4" s="18" t="s">
        <v>193</v>
      </c>
      <c r="C4" s="2" t="s">
        <v>79</v>
      </c>
      <c r="D4" s="29" t="s">
        <v>199</v>
      </c>
      <c r="E4" s="30" t="s">
        <v>195</v>
      </c>
      <c r="F4" s="3" t="s">
        <v>38</v>
      </c>
      <c r="G4" s="33" t="s">
        <v>196</v>
      </c>
      <c r="H4" s="2" t="s">
        <v>197</v>
      </c>
      <c r="I4" s="35" t="s">
        <v>112</v>
      </c>
      <c r="J4" s="10" t="s">
        <v>20</v>
      </c>
      <c r="K4" s="2" t="s">
        <v>198</v>
      </c>
      <c r="L4" s="5" t="s">
        <v>581</v>
      </c>
      <c r="M4" s="7" t="str">
        <f>IFERROR(VLOOKUP(H4,#REF!,2,FALSE),"-")</f>
        <v>-</v>
      </c>
      <c r="N4" s="7" t="str">
        <f t="shared" si="0"/>
        <v>1</v>
      </c>
    </row>
    <row r="5" spans="1:14" ht="24.75" customHeight="1" x14ac:dyDescent="0.35">
      <c r="A5" s="3" t="s">
        <v>11</v>
      </c>
      <c r="B5" s="18" t="s">
        <v>193</v>
      </c>
      <c r="C5" s="2" t="s">
        <v>79</v>
      </c>
      <c r="D5" s="29" t="s">
        <v>200</v>
      </c>
      <c r="E5" s="30" t="s">
        <v>148</v>
      </c>
      <c r="F5" s="3" t="s">
        <v>32</v>
      </c>
      <c r="G5" s="33" t="s">
        <v>33</v>
      </c>
      <c r="H5" s="2" t="s">
        <v>197</v>
      </c>
      <c r="I5" s="35" t="s">
        <v>112</v>
      </c>
      <c r="J5" s="10"/>
      <c r="K5" s="2"/>
      <c r="L5" s="5" t="s">
        <v>581</v>
      </c>
      <c r="M5" s="7" t="str">
        <f>IFERROR(VLOOKUP(H5,#REF!,2,FALSE),"-")</f>
        <v>-</v>
      </c>
      <c r="N5" s="7" t="str">
        <f t="shared" si="0"/>
        <v>1</v>
      </c>
    </row>
    <row r="6" spans="1:14" ht="24.75" customHeight="1" x14ac:dyDescent="0.35">
      <c r="A6" s="3" t="s">
        <v>11</v>
      </c>
      <c r="B6" s="18" t="s">
        <v>193</v>
      </c>
      <c r="C6" s="2" t="s">
        <v>77</v>
      </c>
      <c r="D6" s="29" t="s">
        <v>201</v>
      </c>
      <c r="E6" s="30" t="s">
        <v>195</v>
      </c>
      <c r="F6" s="3" t="s">
        <v>38</v>
      </c>
      <c r="G6" s="33" t="s">
        <v>196</v>
      </c>
      <c r="H6" s="2" t="s">
        <v>197</v>
      </c>
      <c r="I6" s="35" t="s">
        <v>112</v>
      </c>
      <c r="J6" s="10" t="s">
        <v>20</v>
      </c>
      <c r="K6" s="2" t="s">
        <v>198</v>
      </c>
      <c r="L6" s="5" t="s">
        <v>581</v>
      </c>
      <c r="M6" s="7" t="str">
        <f>IFERROR(VLOOKUP(H6,#REF!,2,FALSE),"-")</f>
        <v>-</v>
      </c>
      <c r="N6" s="7" t="str">
        <f t="shared" si="0"/>
        <v>1</v>
      </c>
    </row>
    <row r="7" spans="1:14" ht="24.75" customHeight="1" x14ac:dyDescent="0.35">
      <c r="A7" s="3" t="s">
        <v>11</v>
      </c>
      <c r="B7" s="18" t="s">
        <v>193</v>
      </c>
      <c r="C7" s="2" t="s">
        <v>77</v>
      </c>
      <c r="D7" s="29" t="s">
        <v>202</v>
      </c>
      <c r="E7" s="30" t="s">
        <v>31</v>
      </c>
      <c r="F7" s="3" t="s">
        <v>32</v>
      </c>
      <c r="G7" s="33" t="s">
        <v>33</v>
      </c>
      <c r="H7" s="2" t="s">
        <v>197</v>
      </c>
      <c r="I7" s="35" t="s">
        <v>112</v>
      </c>
      <c r="J7" s="10"/>
      <c r="K7" s="2"/>
      <c r="L7" s="5" t="s">
        <v>581</v>
      </c>
      <c r="M7" s="7" t="str">
        <f>IFERROR(VLOOKUP(H7,#REF!,2,FALSE),"-")</f>
        <v>-</v>
      </c>
      <c r="N7" s="7" t="str">
        <f t="shared" si="0"/>
        <v>1</v>
      </c>
    </row>
    <row r="8" spans="1:14" ht="24.75" customHeight="1" x14ac:dyDescent="0.35">
      <c r="A8" s="3" t="s">
        <v>11</v>
      </c>
      <c r="B8" s="18" t="s">
        <v>193</v>
      </c>
      <c r="C8" s="2" t="s">
        <v>77</v>
      </c>
      <c r="D8" s="29" t="s">
        <v>203</v>
      </c>
      <c r="E8" s="30" t="s">
        <v>31</v>
      </c>
      <c r="F8" s="3" t="s">
        <v>32</v>
      </c>
      <c r="G8" s="33" t="s">
        <v>33</v>
      </c>
      <c r="H8" s="2" t="s">
        <v>197</v>
      </c>
      <c r="I8" s="35" t="s">
        <v>112</v>
      </c>
      <c r="J8" s="10"/>
      <c r="K8" s="2"/>
      <c r="L8" s="5" t="s">
        <v>581</v>
      </c>
      <c r="M8" s="7" t="str">
        <f>IFERROR(VLOOKUP(H8,#REF!,2,FALSE),"-")</f>
        <v>-</v>
      </c>
      <c r="N8" s="7" t="str">
        <f t="shared" si="0"/>
        <v>1</v>
      </c>
    </row>
    <row r="9" spans="1:14" ht="24.75" customHeight="1" x14ac:dyDescent="0.35">
      <c r="A9" s="3" t="s">
        <v>11</v>
      </c>
      <c r="B9" s="18" t="s">
        <v>271</v>
      </c>
      <c r="C9" s="2" t="s">
        <v>180</v>
      </c>
      <c r="D9" s="29" t="s">
        <v>272</v>
      </c>
      <c r="E9" s="30" t="s">
        <v>31</v>
      </c>
      <c r="F9" s="3" t="s">
        <v>32</v>
      </c>
      <c r="G9" s="33" t="s">
        <v>33</v>
      </c>
      <c r="H9" s="2" t="s">
        <v>273</v>
      </c>
      <c r="I9" s="35" t="s">
        <v>19</v>
      </c>
      <c r="J9" s="10" t="s">
        <v>20</v>
      </c>
      <c r="K9" s="2" t="s">
        <v>274</v>
      </c>
      <c r="L9" s="5"/>
      <c r="M9" s="7" t="str">
        <f>IFERROR(VLOOKUP(H9,#REF!,2,FALSE),"-")</f>
        <v>-</v>
      </c>
    </row>
    <row r="10" spans="1:14" ht="24.75" customHeight="1" x14ac:dyDescent="0.35">
      <c r="A10" s="3" t="s">
        <v>11</v>
      </c>
      <c r="B10" s="18" t="s">
        <v>271</v>
      </c>
      <c r="C10" s="2" t="s">
        <v>180</v>
      </c>
      <c r="D10" s="29" t="s">
        <v>275</v>
      </c>
      <c r="E10" s="30" t="s">
        <v>31</v>
      </c>
      <c r="F10" s="3" t="s">
        <v>32</v>
      </c>
      <c r="G10" s="33" t="s">
        <v>33</v>
      </c>
      <c r="H10" s="2" t="s">
        <v>273</v>
      </c>
      <c r="I10" s="35" t="s">
        <v>19</v>
      </c>
      <c r="J10" s="10"/>
      <c r="K10" s="2"/>
      <c r="L10" s="5"/>
      <c r="M10" s="7" t="str">
        <f>IFERROR(VLOOKUP(H10,#REF!,2,FALSE),"-")</f>
        <v>-</v>
      </c>
    </row>
    <row r="11" spans="1:14" ht="24.75" customHeight="1" x14ac:dyDescent="0.35">
      <c r="A11" s="3" t="s">
        <v>11</v>
      </c>
      <c r="B11" s="18" t="s">
        <v>271</v>
      </c>
      <c r="C11" s="2" t="s">
        <v>180</v>
      </c>
      <c r="D11" s="29" t="s">
        <v>276</v>
      </c>
      <c r="E11" s="30" t="s">
        <v>31</v>
      </c>
      <c r="F11" s="3" t="s">
        <v>32</v>
      </c>
      <c r="G11" s="33" t="s">
        <v>33</v>
      </c>
      <c r="H11" s="2" t="s">
        <v>273</v>
      </c>
      <c r="I11" s="35" t="s">
        <v>19</v>
      </c>
      <c r="J11" s="10"/>
      <c r="K11" s="2"/>
      <c r="L11" s="5"/>
      <c r="M11" s="7" t="str">
        <f>IFERROR(VLOOKUP(H11,#REF!,2,FALSE),"-")</f>
        <v>-</v>
      </c>
    </row>
    <row r="12" spans="1:14" ht="24.75" customHeight="1" x14ac:dyDescent="0.35">
      <c r="A12" s="3" t="s">
        <v>11</v>
      </c>
      <c r="B12" s="18" t="s">
        <v>271</v>
      </c>
      <c r="C12" s="2" t="s">
        <v>250</v>
      </c>
      <c r="D12" s="29" t="s">
        <v>277</v>
      </c>
      <c r="E12" s="30" t="s">
        <v>44</v>
      </c>
      <c r="F12" s="3" t="s">
        <v>32</v>
      </c>
      <c r="G12" s="33" t="s">
        <v>33</v>
      </c>
      <c r="H12" s="2" t="s">
        <v>273</v>
      </c>
      <c r="I12" s="35" t="s">
        <v>19</v>
      </c>
      <c r="J12" s="10" t="s">
        <v>20</v>
      </c>
      <c r="K12" s="2" t="s">
        <v>65</v>
      </c>
      <c r="L12" s="5"/>
      <c r="M12" s="7" t="str">
        <f>IFERROR(VLOOKUP(H12,#REF!,2,FALSE),"-")</f>
        <v>-</v>
      </c>
    </row>
    <row r="13" spans="1:14" ht="24.75" customHeight="1" x14ac:dyDescent="0.35">
      <c r="A13" s="3" t="s">
        <v>11</v>
      </c>
      <c r="B13" s="18" t="s">
        <v>271</v>
      </c>
      <c r="C13" s="2" t="s">
        <v>250</v>
      </c>
      <c r="D13" s="29" t="s">
        <v>278</v>
      </c>
      <c r="E13" s="30" t="s">
        <v>31</v>
      </c>
      <c r="F13" s="3" t="s">
        <v>32</v>
      </c>
      <c r="G13" s="33" t="s">
        <v>33</v>
      </c>
      <c r="H13" s="2" t="s">
        <v>273</v>
      </c>
      <c r="I13" s="35" t="s">
        <v>19</v>
      </c>
      <c r="J13" s="10"/>
      <c r="K13" s="2"/>
      <c r="L13" s="5"/>
      <c r="M13" s="7" t="str">
        <f>IFERROR(VLOOKUP(H13,#REF!,2,FALSE),"-")</f>
        <v>-</v>
      </c>
    </row>
    <row r="14" spans="1:14" ht="24.75" customHeight="1" x14ac:dyDescent="0.35">
      <c r="A14" s="3" t="s">
        <v>11</v>
      </c>
      <c r="B14" s="18" t="s">
        <v>271</v>
      </c>
      <c r="C14" s="2" t="s">
        <v>250</v>
      </c>
      <c r="D14" s="29" t="s">
        <v>279</v>
      </c>
      <c r="E14" s="30" t="s">
        <v>31</v>
      </c>
      <c r="F14" s="3" t="s">
        <v>32</v>
      </c>
      <c r="G14" s="33" t="s">
        <v>33</v>
      </c>
      <c r="H14" s="2" t="s">
        <v>273</v>
      </c>
      <c r="I14" s="35" t="s">
        <v>19</v>
      </c>
      <c r="J14" s="10"/>
      <c r="K14" s="2"/>
      <c r="L14" s="5"/>
      <c r="M14" s="7" t="str">
        <f>IFERROR(VLOOKUP(H14,#REF!,2,FALSE),"-")</f>
        <v>-</v>
      </c>
    </row>
    <row r="15" spans="1:14" ht="24.75" customHeight="1" x14ac:dyDescent="0.35">
      <c r="A15" s="3" t="s">
        <v>11</v>
      </c>
      <c r="B15" s="18" t="s">
        <v>271</v>
      </c>
      <c r="C15" s="2" t="s">
        <v>87</v>
      </c>
      <c r="D15" s="29" t="s">
        <v>280</v>
      </c>
      <c r="E15" s="30" t="s">
        <v>195</v>
      </c>
      <c r="F15" s="3" t="s">
        <v>38</v>
      </c>
      <c r="G15" s="33" t="s">
        <v>196</v>
      </c>
      <c r="H15" s="2" t="s">
        <v>273</v>
      </c>
      <c r="I15" s="35" t="s">
        <v>19</v>
      </c>
      <c r="J15" s="10" t="s">
        <v>20</v>
      </c>
      <c r="K15" s="2" t="s">
        <v>65</v>
      </c>
      <c r="L15" s="5"/>
      <c r="M15" s="7" t="str">
        <f>IFERROR(VLOOKUP(H15,#REF!,2,FALSE),"-")</f>
        <v>-</v>
      </c>
    </row>
    <row r="16" spans="1:14" ht="24.75" customHeight="1" x14ac:dyDescent="0.35">
      <c r="A16" s="3" t="s">
        <v>11</v>
      </c>
      <c r="B16" s="18" t="s">
        <v>271</v>
      </c>
      <c r="C16" s="2" t="s">
        <v>87</v>
      </c>
      <c r="D16" s="29" t="s">
        <v>281</v>
      </c>
      <c r="E16" s="30" t="s">
        <v>31</v>
      </c>
      <c r="F16" s="3" t="s">
        <v>32</v>
      </c>
      <c r="G16" s="33" t="s">
        <v>33</v>
      </c>
      <c r="H16" s="2" t="s">
        <v>273</v>
      </c>
      <c r="I16" s="35" t="s">
        <v>19</v>
      </c>
      <c r="J16" s="10"/>
      <c r="K16" s="2"/>
      <c r="L16" s="5"/>
      <c r="M16" s="7" t="str">
        <f>IFERROR(VLOOKUP(H16,#REF!,2,FALSE),"-")</f>
        <v>-</v>
      </c>
    </row>
    <row r="17" spans="1:14" ht="24.75" customHeight="1" x14ac:dyDescent="0.35">
      <c r="A17" s="3" t="s">
        <v>11</v>
      </c>
      <c r="B17" s="18" t="s">
        <v>204</v>
      </c>
      <c r="C17" s="2" t="s">
        <v>35</v>
      </c>
      <c r="D17" s="29" t="s">
        <v>205</v>
      </c>
      <c r="E17" s="30" t="s">
        <v>31</v>
      </c>
      <c r="F17" s="3" t="s">
        <v>32</v>
      </c>
      <c r="G17" s="33" t="s">
        <v>33</v>
      </c>
      <c r="H17" s="2" t="s">
        <v>206</v>
      </c>
      <c r="I17" s="35" t="s">
        <v>19</v>
      </c>
      <c r="J17" s="10" t="s">
        <v>20</v>
      </c>
      <c r="K17" s="2" t="s">
        <v>207</v>
      </c>
      <c r="L17" s="5"/>
      <c r="M17" s="7" t="str">
        <f>IFERROR(VLOOKUP(H17,#REF!,2,FALSE),"-")</f>
        <v>-</v>
      </c>
    </row>
    <row r="18" spans="1:14" ht="24.75" customHeight="1" x14ac:dyDescent="0.35">
      <c r="A18" s="3" t="s">
        <v>11</v>
      </c>
      <c r="B18" s="18" t="s">
        <v>204</v>
      </c>
      <c r="C18" s="2" t="s">
        <v>35</v>
      </c>
      <c r="D18" s="29" t="s">
        <v>208</v>
      </c>
      <c r="E18" s="30" t="s">
        <v>31</v>
      </c>
      <c r="F18" s="3" t="s">
        <v>32</v>
      </c>
      <c r="G18" s="33" t="s">
        <v>33</v>
      </c>
      <c r="H18" s="2" t="s">
        <v>206</v>
      </c>
      <c r="I18" s="35" t="s">
        <v>19</v>
      </c>
      <c r="J18" s="10"/>
      <c r="K18" s="2"/>
      <c r="L18" s="5"/>
      <c r="M18" s="7" t="str">
        <f>IFERROR(VLOOKUP(H18,#REF!,2,FALSE),"-")</f>
        <v>-</v>
      </c>
    </row>
    <row r="19" spans="1:14" ht="24.75" customHeight="1" x14ac:dyDescent="0.35">
      <c r="A19" s="3" t="s">
        <v>11</v>
      </c>
      <c r="B19" s="18" t="s">
        <v>204</v>
      </c>
      <c r="C19" s="2" t="s">
        <v>209</v>
      </c>
      <c r="D19" s="29" t="s">
        <v>210</v>
      </c>
      <c r="E19" s="30" t="s">
        <v>44</v>
      </c>
      <c r="F19" s="3" t="s">
        <v>32</v>
      </c>
      <c r="G19" s="33" t="s">
        <v>33</v>
      </c>
      <c r="H19" s="2" t="s">
        <v>206</v>
      </c>
      <c r="I19" s="35" t="s">
        <v>19</v>
      </c>
      <c r="J19" s="10" t="s">
        <v>20</v>
      </c>
      <c r="K19" s="2" t="s">
        <v>211</v>
      </c>
      <c r="L19" s="5"/>
      <c r="M19" s="7" t="str">
        <f>IFERROR(VLOOKUP(H19,#REF!,2,FALSE),"-")</f>
        <v>-</v>
      </c>
    </row>
    <row r="20" spans="1:14" ht="24.75" customHeight="1" x14ac:dyDescent="0.35">
      <c r="A20" s="3" t="s">
        <v>11</v>
      </c>
      <c r="B20" s="18" t="s">
        <v>204</v>
      </c>
      <c r="C20" s="2" t="s">
        <v>209</v>
      </c>
      <c r="D20" s="29" t="s">
        <v>212</v>
      </c>
      <c r="E20" s="30" t="s">
        <v>31</v>
      </c>
      <c r="F20" s="3" t="s">
        <v>32</v>
      </c>
      <c r="G20" s="33" t="s">
        <v>33</v>
      </c>
      <c r="H20" s="2" t="s">
        <v>206</v>
      </c>
      <c r="I20" s="35" t="s">
        <v>19</v>
      </c>
      <c r="J20" s="10"/>
      <c r="K20" s="2"/>
      <c r="L20" s="5"/>
      <c r="M20" s="7" t="str">
        <f>IFERROR(VLOOKUP(H20,#REF!,2,FALSE),"-")</f>
        <v>-</v>
      </c>
    </row>
    <row r="21" spans="1:14" ht="24.75" customHeight="1" x14ac:dyDescent="0.35">
      <c r="A21" s="3" t="s">
        <v>11</v>
      </c>
      <c r="B21" s="18" t="s">
        <v>204</v>
      </c>
      <c r="C21" s="2" t="s">
        <v>209</v>
      </c>
      <c r="D21" s="29" t="s">
        <v>213</v>
      </c>
      <c r="E21" s="30" t="s">
        <v>31</v>
      </c>
      <c r="F21" s="3" t="s">
        <v>32</v>
      </c>
      <c r="G21" s="33" t="s">
        <v>33</v>
      </c>
      <c r="H21" s="2" t="s">
        <v>206</v>
      </c>
      <c r="I21" s="35" t="s">
        <v>19</v>
      </c>
      <c r="J21" s="10"/>
      <c r="K21" s="2"/>
      <c r="L21" s="5"/>
      <c r="M21" s="7" t="str">
        <f>IFERROR(VLOOKUP(H21,#REF!,2,FALSE),"-")</f>
        <v>-</v>
      </c>
    </row>
    <row r="22" spans="1:14" ht="24.75" customHeight="1" x14ac:dyDescent="0.35">
      <c r="A22" s="3" t="s">
        <v>11</v>
      </c>
      <c r="B22" s="18" t="s">
        <v>204</v>
      </c>
      <c r="C22" s="2" t="s">
        <v>214</v>
      </c>
      <c r="D22" s="29" t="s">
        <v>215</v>
      </c>
      <c r="E22" s="30" t="s">
        <v>195</v>
      </c>
      <c r="F22" s="3" t="s">
        <v>38</v>
      </c>
      <c r="G22" s="33" t="s">
        <v>196</v>
      </c>
      <c r="H22" s="2" t="s">
        <v>206</v>
      </c>
      <c r="I22" s="35" t="s">
        <v>19</v>
      </c>
      <c r="J22" s="10" t="s">
        <v>20</v>
      </c>
      <c r="K22" s="2" t="s">
        <v>21</v>
      </c>
      <c r="L22" s="5"/>
      <c r="M22" s="7" t="str">
        <f>IFERROR(VLOOKUP(H22,#REF!,2,FALSE),"-")</f>
        <v>-</v>
      </c>
    </row>
    <row r="23" spans="1:14" ht="24.75" customHeight="1" x14ac:dyDescent="0.35">
      <c r="A23" s="3" t="s">
        <v>11</v>
      </c>
      <c r="B23" s="18" t="s">
        <v>204</v>
      </c>
      <c r="C23" s="2" t="s">
        <v>214</v>
      </c>
      <c r="D23" s="29" t="s">
        <v>216</v>
      </c>
      <c r="E23" s="30" t="s">
        <v>31</v>
      </c>
      <c r="F23" s="3" t="s">
        <v>32</v>
      </c>
      <c r="G23" s="33" t="s">
        <v>33</v>
      </c>
      <c r="H23" s="2" t="s">
        <v>206</v>
      </c>
      <c r="I23" s="35" t="s">
        <v>19</v>
      </c>
      <c r="J23" s="10"/>
      <c r="K23" s="2"/>
      <c r="L23" s="5"/>
      <c r="M23" s="7" t="str">
        <f>IFERROR(VLOOKUP(H23,#REF!,2,FALSE),"-")</f>
        <v>-</v>
      </c>
    </row>
    <row r="24" spans="1:14" ht="24.75" customHeight="1" x14ac:dyDescent="0.35">
      <c r="A24" s="3" t="s">
        <v>11</v>
      </c>
      <c r="B24" s="18" t="s">
        <v>217</v>
      </c>
      <c r="C24" s="2" t="s">
        <v>218</v>
      </c>
      <c r="D24" s="29" t="s">
        <v>219</v>
      </c>
      <c r="E24" s="30" t="s">
        <v>44</v>
      </c>
      <c r="F24" s="3" t="s">
        <v>32</v>
      </c>
      <c r="G24" s="33" t="s">
        <v>33</v>
      </c>
      <c r="H24" s="2" t="s">
        <v>220</v>
      </c>
      <c r="I24" s="35" t="s">
        <v>19</v>
      </c>
      <c r="J24" s="10" t="s">
        <v>20</v>
      </c>
      <c r="K24" s="2" t="s">
        <v>221</v>
      </c>
      <c r="L24" s="5"/>
      <c r="M24" s="7" t="str">
        <f>IFERROR(VLOOKUP(H24,#REF!,2,FALSE),"-")</f>
        <v>-</v>
      </c>
    </row>
    <row r="25" spans="1:14" ht="24.75" customHeight="1" x14ac:dyDescent="0.35">
      <c r="A25" s="3" t="s">
        <v>11</v>
      </c>
      <c r="B25" s="18" t="s">
        <v>217</v>
      </c>
      <c r="C25" s="2" t="s">
        <v>218</v>
      </c>
      <c r="D25" s="29" t="s">
        <v>222</v>
      </c>
      <c r="E25" s="30" t="s">
        <v>31</v>
      </c>
      <c r="F25" s="3" t="s">
        <v>32</v>
      </c>
      <c r="G25" s="33" t="s">
        <v>33</v>
      </c>
      <c r="H25" s="2" t="s">
        <v>220</v>
      </c>
      <c r="I25" s="35" t="s">
        <v>19</v>
      </c>
      <c r="J25" s="10"/>
      <c r="K25" s="2"/>
      <c r="L25" s="5"/>
      <c r="M25" s="7" t="str">
        <f>IFERROR(VLOOKUP(H25,#REF!,2,FALSE),"-")</f>
        <v>-</v>
      </c>
    </row>
    <row r="26" spans="1:14" ht="24.75" customHeight="1" x14ac:dyDescent="0.35">
      <c r="A26" s="3" t="s">
        <v>11</v>
      </c>
      <c r="B26" s="18" t="s">
        <v>217</v>
      </c>
      <c r="C26" s="2" t="s">
        <v>120</v>
      </c>
      <c r="D26" s="29" t="s">
        <v>223</v>
      </c>
      <c r="E26" s="30" t="s">
        <v>195</v>
      </c>
      <c r="F26" s="3" t="s">
        <v>38</v>
      </c>
      <c r="G26" s="33" t="s">
        <v>196</v>
      </c>
      <c r="H26" s="2" t="s">
        <v>220</v>
      </c>
      <c r="I26" s="35" t="s">
        <v>19</v>
      </c>
      <c r="J26" s="10" t="s">
        <v>20</v>
      </c>
      <c r="K26" s="2" t="s">
        <v>65</v>
      </c>
      <c r="L26" s="5"/>
      <c r="M26" s="7" t="str">
        <f>IFERROR(VLOOKUP(H26,#REF!,2,FALSE),"-")</f>
        <v>-</v>
      </c>
    </row>
    <row r="27" spans="1:14" ht="24.75" customHeight="1" x14ac:dyDescent="0.35">
      <c r="A27" s="3" t="s">
        <v>11</v>
      </c>
      <c r="B27" s="18" t="s">
        <v>217</v>
      </c>
      <c r="C27" s="2" t="s">
        <v>120</v>
      </c>
      <c r="D27" s="29" t="s">
        <v>224</v>
      </c>
      <c r="E27" s="30" t="s">
        <v>31</v>
      </c>
      <c r="F27" s="3" t="s">
        <v>32</v>
      </c>
      <c r="G27" s="33" t="s">
        <v>33</v>
      </c>
      <c r="H27" s="2" t="s">
        <v>220</v>
      </c>
      <c r="I27" s="35" t="s">
        <v>19</v>
      </c>
      <c r="J27" s="10"/>
      <c r="K27" s="2"/>
      <c r="L27" s="5"/>
      <c r="M27" s="7" t="str">
        <f>IFERROR(VLOOKUP(H27,#REF!,2,FALSE),"-")</f>
        <v>-</v>
      </c>
    </row>
    <row r="28" spans="1:14" ht="24.75" customHeight="1" x14ac:dyDescent="0.35">
      <c r="A28" s="3" t="s">
        <v>11</v>
      </c>
      <c r="B28" s="18" t="s">
        <v>217</v>
      </c>
      <c r="C28" s="2" t="s">
        <v>66</v>
      </c>
      <c r="D28" s="29" t="s">
        <v>225</v>
      </c>
      <c r="E28" s="30" t="s">
        <v>31</v>
      </c>
      <c r="F28" s="3" t="s">
        <v>32</v>
      </c>
      <c r="G28" s="33" t="s">
        <v>33</v>
      </c>
      <c r="H28" s="2" t="s">
        <v>220</v>
      </c>
      <c r="I28" s="35" t="s">
        <v>19</v>
      </c>
      <c r="J28" s="10" t="s">
        <v>20</v>
      </c>
      <c r="K28" s="2" t="s">
        <v>65</v>
      </c>
      <c r="L28" s="5"/>
      <c r="M28" s="7" t="str">
        <f>IFERROR(VLOOKUP(H28,#REF!,2,FALSE),"-")</f>
        <v>-</v>
      </c>
    </row>
    <row r="29" spans="1:14" ht="24.75" customHeight="1" x14ac:dyDescent="0.35">
      <c r="A29" s="3" t="s">
        <v>11</v>
      </c>
      <c r="B29" s="18" t="s">
        <v>217</v>
      </c>
      <c r="C29" s="2" t="s">
        <v>66</v>
      </c>
      <c r="D29" s="29" t="s">
        <v>226</v>
      </c>
      <c r="E29" s="30" t="s">
        <v>31</v>
      </c>
      <c r="F29" s="3" t="s">
        <v>32</v>
      </c>
      <c r="G29" s="33" t="s">
        <v>33</v>
      </c>
      <c r="H29" s="2" t="s">
        <v>220</v>
      </c>
      <c r="I29" s="35" t="s">
        <v>19</v>
      </c>
      <c r="J29" s="10"/>
      <c r="K29" s="2"/>
      <c r="L29" s="5"/>
      <c r="M29" s="7" t="str">
        <f>IFERROR(VLOOKUP(H29,#REF!,2,FALSE),"-")</f>
        <v>-</v>
      </c>
    </row>
    <row r="30" spans="1:14" ht="24.75" customHeight="1" x14ac:dyDescent="0.35">
      <c r="A30" s="3" t="s">
        <v>11</v>
      </c>
      <c r="B30" s="18" t="s">
        <v>217</v>
      </c>
      <c r="C30" s="2" t="s">
        <v>66</v>
      </c>
      <c r="D30" s="29" t="s">
        <v>227</v>
      </c>
      <c r="E30" s="30" t="s">
        <v>31</v>
      </c>
      <c r="F30" s="3" t="s">
        <v>32</v>
      </c>
      <c r="G30" s="33" t="s">
        <v>33</v>
      </c>
      <c r="H30" s="2" t="s">
        <v>220</v>
      </c>
      <c r="I30" s="35" t="s">
        <v>19</v>
      </c>
      <c r="J30" s="10"/>
      <c r="K30" s="2"/>
      <c r="L30" s="5"/>
      <c r="M30" s="7" t="str">
        <f>IFERROR(VLOOKUP(H30,#REF!,2,FALSE),"-")</f>
        <v>-</v>
      </c>
    </row>
    <row r="31" spans="1:14" ht="24.75" customHeight="1" x14ac:dyDescent="0.35">
      <c r="A31" s="3" t="s">
        <v>11</v>
      </c>
      <c r="B31" s="18" t="s">
        <v>228</v>
      </c>
      <c r="C31" s="2" t="s">
        <v>41</v>
      </c>
      <c r="D31" s="29" t="s">
        <v>229</v>
      </c>
      <c r="E31" s="30" t="s">
        <v>44</v>
      </c>
      <c r="F31" s="3" t="s">
        <v>32</v>
      </c>
      <c r="G31" s="33" t="s">
        <v>33</v>
      </c>
      <c r="H31" s="2" t="s">
        <v>230</v>
      </c>
      <c r="I31" s="35" t="s">
        <v>112</v>
      </c>
      <c r="J31" s="10" t="s">
        <v>20</v>
      </c>
      <c r="K31" s="2" t="s">
        <v>231</v>
      </c>
      <c r="L31" s="5"/>
      <c r="M31" s="7" t="str">
        <f>IFERROR(VLOOKUP(H31,#REF!,2,FALSE),"-")</f>
        <v>-</v>
      </c>
      <c r="N31" s="7" t="str">
        <f>LEFT(I31,1)</f>
        <v>1</v>
      </c>
    </row>
    <row r="32" spans="1:14" ht="24.75" customHeight="1" x14ac:dyDescent="0.35">
      <c r="A32" s="3" t="s">
        <v>11</v>
      </c>
      <c r="B32" s="18" t="s">
        <v>228</v>
      </c>
      <c r="C32" s="2" t="s">
        <v>115</v>
      </c>
      <c r="D32" s="29" t="s">
        <v>232</v>
      </c>
      <c r="E32" s="30" t="s">
        <v>44</v>
      </c>
      <c r="F32" s="3" t="s">
        <v>32</v>
      </c>
      <c r="G32" s="33" t="s">
        <v>33</v>
      </c>
      <c r="H32" s="2" t="s">
        <v>230</v>
      </c>
      <c r="I32" s="35" t="s">
        <v>112</v>
      </c>
      <c r="J32" s="10" t="s">
        <v>20</v>
      </c>
      <c r="K32" s="2" t="s">
        <v>231</v>
      </c>
      <c r="L32" s="5"/>
      <c r="M32" s="7" t="str">
        <f>IFERROR(VLOOKUP(H32,#REF!,2,FALSE),"-")</f>
        <v>-</v>
      </c>
      <c r="N32" s="7" t="str">
        <f>LEFT(I32,1)</f>
        <v>1</v>
      </c>
    </row>
    <row r="33" spans="1:14" ht="24.75" customHeight="1" x14ac:dyDescent="0.35">
      <c r="A33" s="3" t="s">
        <v>11</v>
      </c>
      <c r="B33" s="18" t="s">
        <v>228</v>
      </c>
      <c r="C33" s="2" t="s">
        <v>180</v>
      </c>
      <c r="D33" s="29" t="s">
        <v>233</v>
      </c>
      <c r="E33" s="30" t="s">
        <v>171</v>
      </c>
      <c r="F33" s="3" t="s">
        <v>32</v>
      </c>
      <c r="G33" s="33" t="s">
        <v>33</v>
      </c>
      <c r="H33" s="2" t="s">
        <v>230</v>
      </c>
      <c r="I33" s="35" t="s">
        <v>112</v>
      </c>
      <c r="J33" s="10" t="s">
        <v>20</v>
      </c>
      <c r="K33" s="2" t="s">
        <v>234</v>
      </c>
      <c r="L33" s="5"/>
      <c r="M33" s="7" t="str">
        <f>IFERROR(VLOOKUP(H33,#REF!,2,FALSE),"-")</f>
        <v>-</v>
      </c>
      <c r="N33" s="7" t="str">
        <f>LEFT(I33,1)</f>
        <v>1</v>
      </c>
    </row>
    <row r="34" spans="1:14" ht="24.75" customHeight="1" x14ac:dyDescent="0.35">
      <c r="A34" s="3" t="s">
        <v>302</v>
      </c>
      <c r="B34" s="18" t="s">
        <v>337</v>
      </c>
      <c r="C34" s="2" t="s">
        <v>77</v>
      </c>
      <c r="D34" s="29" t="s">
        <v>338</v>
      </c>
      <c r="E34" s="30" t="s">
        <v>31</v>
      </c>
      <c r="F34" s="3" t="s">
        <v>32</v>
      </c>
      <c r="G34" s="33" t="s">
        <v>33</v>
      </c>
      <c r="H34" s="2" t="s">
        <v>339</v>
      </c>
      <c r="I34" s="35" t="s">
        <v>19</v>
      </c>
      <c r="J34" s="10" t="s">
        <v>20</v>
      </c>
      <c r="K34" s="2" t="s">
        <v>113</v>
      </c>
      <c r="L34" s="2" t="s">
        <v>340</v>
      </c>
      <c r="M34" s="7" t="str">
        <f>IFERROR(VLOOKUP(H34,#REF!,2,FALSE),"-")</f>
        <v>-</v>
      </c>
    </row>
    <row r="35" spans="1:14" ht="24.75" customHeight="1" x14ac:dyDescent="0.35">
      <c r="A35" s="3" t="s">
        <v>302</v>
      </c>
      <c r="B35" s="18" t="s">
        <v>337</v>
      </c>
      <c r="C35" s="2" t="s">
        <v>77</v>
      </c>
      <c r="D35" s="29" t="s">
        <v>341</v>
      </c>
      <c r="E35" s="30" t="s">
        <v>31</v>
      </c>
      <c r="F35" s="3" t="s">
        <v>32</v>
      </c>
      <c r="G35" s="33" t="s">
        <v>33</v>
      </c>
      <c r="H35" s="2" t="s">
        <v>339</v>
      </c>
      <c r="I35" s="35" t="s">
        <v>19</v>
      </c>
      <c r="J35" s="10" t="s">
        <v>20</v>
      </c>
      <c r="K35" s="2" t="s">
        <v>113</v>
      </c>
      <c r="L35" s="2" t="s">
        <v>340</v>
      </c>
      <c r="M35" s="7" t="str">
        <f>IFERROR(VLOOKUP(H35,#REF!,2,FALSE),"-")</f>
        <v>-</v>
      </c>
    </row>
    <row r="36" spans="1:14" ht="24.75" customHeight="1" x14ac:dyDescent="0.35">
      <c r="A36" s="3" t="s">
        <v>302</v>
      </c>
      <c r="B36" s="18" t="s">
        <v>303</v>
      </c>
      <c r="C36" s="2" t="s">
        <v>304</v>
      </c>
      <c r="D36" s="29" t="s">
        <v>305</v>
      </c>
      <c r="E36" s="30" t="s">
        <v>195</v>
      </c>
      <c r="F36" s="3" t="s">
        <v>38</v>
      </c>
      <c r="G36" s="33" t="s">
        <v>196</v>
      </c>
      <c r="H36" s="2" t="s">
        <v>306</v>
      </c>
      <c r="I36" s="35" t="s">
        <v>307</v>
      </c>
      <c r="J36" s="10" t="s">
        <v>20</v>
      </c>
      <c r="K36" s="2" t="s">
        <v>308</v>
      </c>
      <c r="L36" s="2" t="s">
        <v>309</v>
      </c>
      <c r="M36" s="7" t="str">
        <f>IFERROR(VLOOKUP(H36,#REF!,2,FALSE),"-")</f>
        <v>-</v>
      </c>
      <c r="N36" s="7" t="str">
        <f t="shared" ref="N36:N58" si="1">LEFT(I36,1)</f>
        <v>0</v>
      </c>
    </row>
    <row r="37" spans="1:14" ht="24.75" customHeight="1" x14ac:dyDescent="0.35">
      <c r="A37" s="3" t="s">
        <v>302</v>
      </c>
      <c r="B37" s="18" t="s">
        <v>303</v>
      </c>
      <c r="C37" s="2" t="s">
        <v>304</v>
      </c>
      <c r="D37" s="29" t="s">
        <v>310</v>
      </c>
      <c r="E37" s="30" t="s">
        <v>195</v>
      </c>
      <c r="F37" s="3" t="s">
        <v>38</v>
      </c>
      <c r="G37" s="33" t="s">
        <v>196</v>
      </c>
      <c r="H37" s="2" t="s">
        <v>306</v>
      </c>
      <c r="I37" s="35" t="s">
        <v>307</v>
      </c>
      <c r="J37" s="10" t="s">
        <v>20</v>
      </c>
      <c r="K37" s="2" t="s">
        <v>308</v>
      </c>
      <c r="L37" s="2" t="s">
        <v>309</v>
      </c>
      <c r="M37" s="7" t="str">
        <f>IFERROR(VLOOKUP(H37,#REF!,2,FALSE),"-")</f>
        <v>-</v>
      </c>
      <c r="N37" s="7" t="str">
        <f t="shared" si="1"/>
        <v>0</v>
      </c>
    </row>
    <row r="38" spans="1:14" ht="24.75" customHeight="1" x14ac:dyDescent="0.35">
      <c r="A38" s="3" t="s">
        <v>302</v>
      </c>
      <c r="B38" s="18" t="s">
        <v>303</v>
      </c>
      <c r="C38" s="2" t="s">
        <v>304</v>
      </c>
      <c r="D38" s="29" t="s">
        <v>311</v>
      </c>
      <c r="E38" s="30" t="s">
        <v>31</v>
      </c>
      <c r="F38" s="3" t="s">
        <v>32</v>
      </c>
      <c r="G38" s="33" t="s">
        <v>33</v>
      </c>
      <c r="H38" s="2" t="s">
        <v>306</v>
      </c>
      <c r="I38" s="35" t="s">
        <v>307</v>
      </c>
      <c r="J38" s="10" t="s">
        <v>20</v>
      </c>
      <c r="K38" s="2" t="s">
        <v>308</v>
      </c>
      <c r="L38" s="2" t="s">
        <v>309</v>
      </c>
      <c r="M38" s="7" t="str">
        <f>IFERROR(VLOOKUP(H38,#REF!,2,FALSE),"-")</f>
        <v>-</v>
      </c>
      <c r="N38" s="7" t="str">
        <f t="shared" si="1"/>
        <v>0</v>
      </c>
    </row>
    <row r="39" spans="1:14" ht="24.75" customHeight="1" x14ac:dyDescent="0.35">
      <c r="A39" s="3" t="s">
        <v>302</v>
      </c>
      <c r="B39" s="18" t="s">
        <v>303</v>
      </c>
      <c r="C39" s="2" t="s">
        <v>41</v>
      </c>
      <c r="D39" s="29" t="s">
        <v>312</v>
      </c>
      <c r="E39" s="30" t="s">
        <v>195</v>
      </c>
      <c r="F39" s="3" t="s">
        <v>38</v>
      </c>
      <c r="G39" s="33" t="s">
        <v>196</v>
      </c>
      <c r="H39" s="2" t="s">
        <v>306</v>
      </c>
      <c r="I39" s="35" t="s">
        <v>307</v>
      </c>
      <c r="J39" s="10" t="s">
        <v>20</v>
      </c>
      <c r="K39" s="2" t="s">
        <v>313</v>
      </c>
      <c r="L39" s="2" t="s">
        <v>314</v>
      </c>
      <c r="M39" s="7" t="str">
        <f>IFERROR(VLOOKUP(H39,#REF!,2,FALSE),"-")</f>
        <v>-</v>
      </c>
      <c r="N39" s="7" t="str">
        <f t="shared" si="1"/>
        <v>0</v>
      </c>
    </row>
    <row r="40" spans="1:14" ht="24.75" customHeight="1" x14ac:dyDescent="0.35">
      <c r="A40" s="3" t="s">
        <v>302</v>
      </c>
      <c r="B40" s="18" t="s">
        <v>303</v>
      </c>
      <c r="C40" s="2" t="s">
        <v>41</v>
      </c>
      <c r="D40" s="29" t="s">
        <v>315</v>
      </c>
      <c r="E40" s="30" t="s">
        <v>44</v>
      </c>
      <c r="F40" s="3" t="s">
        <v>32</v>
      </c>
      <c r="G40" s="33" t="s">
        <v>33</v>
      </c>
      <c r="H40" s="2" t="s">
        <v>306</v>
      </c>
      <c r="I40" s="35" t="s">
        <v>307</v>
      </c>
      <c r="J40" s="10" t="s">
        <v>20</v>
      </c>
      <c r="K40" s="2" t="s">
        <v>313</v>
      </c>
      <c r="L40" s="2" t="s">
        <v>314</v>
      </c>
      <c r="M40" s="7" t="str">
        <f>IFERROR(VLOOKUP(H40,#REF!,2,FALSE),"-")</f>
        <v>-</v>
      </c>
      <c r="N40" s="7" t="str">
        <f t="shared" si="1"/>
        <v>0</v>
      </c>
    </row>
    <row r="41" spans="1:14" ht="24.75" customHeight="1" x14ac:dyDescent="0.35">
      <c r="A41" s="3" t="s">
        <v>302</v>
      </c>
      <c r="B41" s="18" t="s">
        <v>303</v>
      </c>
      <c r="C41" s="2" t="s">
        <v>41</v>
      </c>
      <c r="D41" s="29" t="s">
        <v>316</v>
      </c>
      <c r="E41" s="30" t="s">
        <v>195</v>
      </c>
      <c r="F41" s="3" t="s">
        <v>38</v>
      </c>
      <c r="G41" s="33" t="s">
        <v>196</v>
      </c>
      <c r="H41" s="2" t="s">
        <v>306</v>
      </c>
      <c r="I41" s="35" t="s">
        <v>307</v>
      </c>
      <c r="J41" s="10" t="s">
        <v>20</v>
      </c>
      <c r="K41" s="2" t="s">
        <v>313</v>
      </c>
      <c r="L41" s="2" t="s">
        <v>314</v>
      </c>
      <c r="M41" s="7" t="str">
        <f>IFERROR(VLOOKUP(H41,#REF!,2,FALSE),"-")</f>
        <v>-</v>
      </c>
      <c r="N41" s="7" t="str">
        <f t="shared" si="1"/>
        <v>0</v>
      </c>
    </row>
    <row r="42" spans="1:14" ht="24.75" customHeight="1" x14ac:dyDescent="0.35">
      <c r="A42" s="3" t="s">
        <v>302</v>
      </c>
      <c r="B42" s="18" t="s">
        <v>303</v>
      </c>
      <c r="C42" s="2" t="s">
        <v>317</v>
      </c>
      <c r="D42" s="29" t="s">
        <v>318</v>
      </c>
      <c r="E42" s="30" t="s">
        <v>31</v>
      </c>
      <c r="F42" s="3" t="s">
        <v>32</v>
      </c>
      <c r="G42" s="33" t="s">
        <v>33</v>
      </c>
      <c r="H42" s="2" t="s">
        <v>306</v>
      </c>
      <c r="I42" s="35" t="s">
        <v>307</v>
      </c>
      <c r="J42" s="10" t="s">
        <v>20</v>
      </c>
      <c r="K42" s="2" t="s">
        <v>319</v>
      </c>
      <c r="L42" s="2" t="s">
        <v>320</v>
      </c>
      <c r="M42" s="7" t="str">
        <f>IFERROR(VLOOKUP(H42,#REF!,2,FALSE),"-")</f>
        <v>-</v>
      </c>
      <c r="N42" s="7" t="str">
        <f t="shared" si="1"/>
        <v>0</v>
      </c>
    </row>
    <row r="43" spans="1:14" ht="24.75" customHeight="1" x14ac:dyDescent="0.35">
      <c r="A43" s="3" t="s">
        <v>302</v>
      </c>
      <c r="B43" s="18" t="s">
        <v>303</v>
      </c>
      <c r="C43" s="2" t="s">
        <v>47</v>
      </c>
      <c r="D43" s="29" t="s">
        <v>321</v>
      </c>
      <c r="E43" s="30" t="s">
        <v>31</v>
      </c>
      <c r="F43" s="3" t="s">
        <v>32</v>
      </c>
      <c r="G43" s="33" t="s">
        <v>33</v>
      </c>
      <c r="H43" s="2" t="s">
        <v>306</v>
      </c>
      <c r="I43" s="35" t="s">
        <v>307</v>
      </c>
      <c r="J43" s="10" t="s">
        <v>20</v>
      </c>
      <c r="K43" s="2" t="s">
        <v>322</v>
      </c>
      <c r="L43" s="2" t="s">
        <v>323</v>
      </c>
      <c r="M43" s="7" t="str">
        <f>IFERROR(VLOOKUP(H43,#REF!,2,FALSE),"-")</f>
        <v>-</v>
      </c>
      <c r="N43" s="7" t="str">
        <f t="shared" si="1"/>
        <v>0</v>
      </c>
    </row>
    <row r="44" spans="1:14" ht="24.75" customHeight="1" x14ac:dyDescent="0.35">
      <c r="A44" s="3" t="s">
        <v>302</v>
      </c>
      <c r="B44" s="18" t="s">
        <v>573</v>
      </c>
      <c r="C44" s="2" t="s">
        <v>77</v>
      </c>
      <c r="D44" s="29" t="s">
        <v>574</v>
      </c>
      <c r="E44" s="30" t="s">
        <v>31</v>
      </c>
      <c r="F44" s="3" t="s">
        <v>32</v>
      </c>
      <c r="G44" s="33" t="s">
        <v>33</v>
      </c>
      <c r="H44" s="2" t="s">
        <v>575</v>
      </c>
      <c r="I44" s="35" t="s">
        <v>112</v>
      </c>
      <c r="J44" s="10" t="s">
        <v>20</v>
      </c>
      <c r="K44" s="2" t="s">
        <v>65</v>
      </c>
      <c r="L44" s="2" t="s">
        <v>576</v>
      </c>
      <c r="M44" s="7" t="str">
        <f>IFERROR(VLOOKUP(H44,#REF!,2,FALSE),"-")</f>
        <v>-</v>
      </c>
      <c r="N44" s="7" t="str">
        <f t="shared" si="1"/>
        <v>1</v>
      </c>
    </row>
    <row r="45" spans="1:14" ht="24.75" customHeight="1" x14ac:dyDescent="0.35">
      <c r="A45" s="3" t="s">
        <v>302</v>
      </c>
      <c r="B45" s="18" t="s">
        <v>573</v>
      </c>
      <c r="C45" s="2" t="s">
        <v>577</v>
      </c>
      <c r="D45" s="29" t="s">
        <v>578</v>
      </c>
      <c r="E45" s="30" t="s">
        <v>31</v>
      </c>
      <c r="F45" s="3" t="s">
        <v>32</v>
      </c>
      <c r="G45" s="33" t="s">
        <v>33</v>
      </c>
      <c r="H45" s="2" t="s">
        <v>575</v>
      </c>
      <c r="I45" s="35" t="s">
        <v>112</v>
      </c>
      <c r="J45" s="10" t="s">
        <v>20</v>
      </c>
      <c r="K45" s="2" t="s">
        <v>21</v>
      </c>
      <c r="L45" s="2" t="s">
        <v>579</v>
      </c>
      <c r="M45" s="7" t="str">
        <f>IFERROR(VLOOKUP(H45,#REF!,2,FALSE),"-")</f>
        <v>-</v>
      </c>
      <c r="N45" s="7" t="str">
        <f t="shared" si="1"/>
        <v>1</v>
      </c>
    </row>
    <row r="46" spans="1:14" ht="24.75" customHeight="1" x14ac:dyDescent="0.35">
      <c r="A46" s="3" t="s">
        <v>302</v>
      </c>
      <c r="B46" s="18" t="s">
        <v>573</v>
      </c>
      <c r="C46" s="2" t="s">
        <v>577</v>
      </c>
      <c r="D46" s="29" t="s">
        <v>580</v>
      </c>
      <c r="E46" s="30" t="s">
        <v>15</v>
      </c>
      <c r="F46" s="3" t="s">
        <v>16</v>
      </c>
      <c r="G46" s="33" t="s">
        <v>17</v>
      </c>
      <c r="H46" s="2" t="s">
        <v>575</v>
      </c>
      <c r="I46" s="35" t="s">
        <v>112</v>
      </c>
      <c r="J46" s="10" t="s">
        <v>20</v>
      </c>
      <c r="K46" s="2" t="s">
        <v>21</v>
      </c>
      <c r="L46" s="2" t="s">
        <v>579</v>
      </c>
      <c r="M46" s="7" t="str">
        <f>IFERROR(VLOOKUP(H46,#REF!,2,FALSE),"-")</f>
        <v>-</v>
      </c>
      <c r="N46" s="7" t="str">
        <f t="shared" si="1"/>
        <v>1</v>
      </c>
    </row>
    <row r="47" spans="1:14" ht="24.75" customHeight="1" x14ac:dyDescent="0.35">
      <c r="A47" s="3" t="s">
        <v>302</v>
      </c>
      <c r="B47" s="18" t="s">
        <v>72</v>
      </c>
      <c r="C47" s="2" t="s">
        <v>87</v>
      </c>
      <c r="D47" s="29" t="s">
        <v>342</v>
      </c>
      <c r="E47" s="30" t="s">
        <v>31</v>
      </c>
      <c r="F47" s="3" t="s">
        <v>32</v>
      </c>
      <c r="G47" s="33" t="s">
        <v>33</v>
      </c>
      <c r="H47" s="2" t="s">
        <v>343</v>
      </c>
      <c r="I47" s="35" t="s">
        <v>307</v>
      </c>
      <c r="J47" s="10" t="s">
        <v>20</v>
      </c>
      <c r="K47" s="2" t="s">
        <v>113</v>
      </c>
      <c r="L47" s="2" t="s">
        <v>344</v>
      </c>
      <c r="M47" s="7" t="str">
        <f>IFERROR(VLOOKUP(H47,#REF!,2,FALSE),"-")</f>
        <v>-</v>
      </c>
      <c r="N47" s="7" t="str">
        <f t="shared" si="1"/>
        <v>0</v>
      </c>
    </row>
    <row r="48" spans="1:14" ht="24.75" customHeight="1" x14ac:dyDescent="0.35">
      <c r="A48" s="3" t="s">
        <v>302</v>
      </c>
      <c r="B48" s="18" t="s">
        <v>72</v>
      </c>
      <c r="C48" s="2" t="s">
        <v>87</v>
      </c>
      <c r="D48" s="29" t="s">
        <v>345</v>
      </c>
      <c r="E48" s="30" t="s">
        <v>195</v>
      </c>
      <c r="F48" s="3" t="s">
        <v>38</v>
      </c>
      <c r="G48" s="33" t="s">
        <v>196</v>
      </c>
      <c r="H48" s="2" t="s">
        <v>343</v>
      </c>
      <c r="I48" s="35" t="s">
        <v>307</v>
      </c>
      <c r="J48" s="10" t="s">
        <v>20</v>
      </c>
      <c r="K48" s="2" t="s">
        <v>113</v>
      </c>
      <c r="L48" s="2" t="s">
        <v>344</v>
      </c>
      <c r="M48" s="7" t="str">
        <f>IFERROR(VLOOKUP(H48,#REF!,2,FALSE),"-")</f>
        <v>-</v>
      </c>
      <c r="N48" s="7" t="str">
        <f t="shared" si="1"/>
        <v>0</v>
      </c>
    </row>
    <row r="49" spans="1:14" ht="24.75" customHeight="1" x14ac:dyDescent="0.35">
      <c r="A49" s="3" t="s">
        <v>302</v>
      </c>
      <c r="B49" s="18" t="s">
        <v>72</v>
      </c>
      <c r="C49" s="2" t="s">
        <v>87</v>
      </c>
      <c r="D49" s="29" t="s">
        <v>346</v>
      </c>
      <c r="E49" s="30" t="s">
        <v>31</v>
      </c>
      <c r="F49" s="3" t="s">
        <v>32</v>
      </c>
      <c r="G49" s="33" t="s">
        <v>33</v>
      </c>
      <c r="H49" s="2" t="s">
        <v>343</v>
      </c>
      <c r="I49" s="35" t="s">
        <v>307</v>
      </c>
      <c r="J49" s="10" t="s">
        <v>20</v>
      </c>
      <c r="K49" s="2" t="s">
        <v>113</v>
      </c>
      <c r="L49" s="2" t="s">
        <v>344</v>
      </c>
      <c r="M49" s="7" t="str">
        <f>IFERROR(VLOOKUP(H49,#REF!,2,FALSE),"-")</f>
        <v>-</v>
      </c>
      <c r="N49" s="7" t="str">
        <f t="shared" si="1"/>
        <v>0</v>
      </c>
    </row>
    <row r="50" spans="1:14" ht="24.75" customHeight="1" x14ac:dyDescent="0.35">
      <c r="A50" s="3" t="s">
        <v>302</v>
      </c>
      <c r="B50" s="18" t="s">
        <v>72</v>
      </c>
      <c r="C50" s="2" t="s">
        <v>91</v>
      </c>
      <c r="D50" s="29" t="s">
        <v>347</v>
      </c>
      <c r="E50" s="30" t="s">
        <v>31</v>
      </c>
      <c r="F50" s="3" t="s">
        <v>32</v>
      </c>
      <c r="G50" s="33" t="s">
        <v>33</v>
      </c>
      <c r="H50" s="2" t="s">
        <v>343</v>
      </c>
      <c r="I50" s="35" t="s">
        <v>307</v>
      </c>
      <c r="J50" s="10" t="s">
        <v>20</v>
      </c>
      <c r="K50" s="2" t="s">
        <v>65</v>
      </c>
      <c r="L50" s="2" t="s">
        <v>348</v>
      </c>
      <c r="M50" s="7" t="str">
        <f>IFERROR(VLOOKUP(H50,#REF!,2,FALSE),"-")</f>
        <v>-</v>
      </c>
      <c r="N50" s="7" t="str">
        <f t="shared" si="1"/>
        <v>0</v>
      </c>
    </row>
    <row r="51" spans="1:14" ht="24.75" customHeight="1" x14ac:dyDescent="0.35">
      <c r="A51" s="3" t="s">
        <v>302</v>
      </c>
      <c r="B51" s="18" t="s">
        <v>72</v>
      </c>
      <c r="C51" s="2" t="s">
        <v>91</v>
      </c>
      <c r="D51" s="29" t="s">
        <v>349</v>
      </c>
      <c r="E51" s="30" t="s">
        <v>15</v>
      </c>
      <c r="F51" s="3" t="s">
        <v>16</v>
      </c>
      <c r="G51" s="33" t="s">
        <v>17</v>
      </c>
      <c r="H51" s="2" t="s">
        <v>343</v>
      </c>
      <c r="I51" s="35" t="s">
        <v>307</v>
      </c>
      <c r="J51" s="10" t="s">
        <v>20</v>
      </c>
      <c r="K51" s="2" t="s">
        <v>65</v>
      </c>
      <c r="L51" s="2" t="s">
        <v>348</v>
      </c>
      <c r="M51" s="7" t="str">
        <f>IFERROR(VLOOKUP(H51,#REF!,2,FALSE),"-")</f>
        <v>-</v>
      </c>
      <c r="N51" s="7" t="str">
        <f t="shared" si="1"/>
        <v>0</v>
      </c>
    </row>
    <row r="52" spans="1:14" ht="24.75" customHeight="1" x14ac:dyDescent="0.35">
      <c r="A52" s="3" t="s">
        <v>302</v>
      </c>
      <c r="B52" s="18" t="s">
        <v>72</v>
      </c>
      <c r="C52" s="2" t="s">
        <v>91</v>
      </c>
      <c r="D52" s="29" t="s">
        <v>350</v>
      </c>
      <c r="E52" s="30" t="s">
        <v>31</v>
      </c>
      <c r="F52" s="3" t="s">
        <v>32</v>
      </c>
      <c r="G52" s="33" t="s">
        <v>33</v>
      </c>
      <c r="H52" s="2" t="s">
        <v>343</v>
      </c>
      <c r="I52" s="35" t="s">
        <v>307</v>
      </c>
      <c r="J52" s="10" t="s">
        <v>20</v>
      </c>
      <c r="K52" s="2" t="s">
        <v>65</v>
      </c>
      <c r="L52" s="2" t="s">
        <v>348</v>
      </c>
      <c r="M52" s="7" t="str">
        <f>IFERROR(VLOOKUP(H52,#REF!,2,FALSE),"-")</f>
        <v>-</v>
      </c>
      <c r="N52" s="7" t="str">
        <f t="shared" si="1"/>
        <v>0</v>
      </c>
    </row>
    <row r="53" spans="1:14" ht="24.75" customHeight="1" x14ac:dyDescent="0.35">
      <c r="A53" s="3" t="s">
        <v>302</v>
      </c>
      <c r="B53" s="18" t="s">
        <v>72</v>
      </c>
      <c r="C53" s="2" t="s">
        <v>91</v>
      </c>
      <c r="D53" s="29" t="s">
        <v>351</v>
      </c>
      <c r="E53" s="30" t="s">
        <v>195</v>
      </c>
      <c r="F53" s="3" t="s">
        <v>38</v>
      </c>
      <c r="G53" s="33" t="s">
        <v>196</v>
      </c>
      <c r="H53" s="2" t="s">
        <v>343</v>
      </c>
      <c r="I53" s="35" t="s">
        <v>307</v>
      </c>
      <c r="J53" s="10" t="s">
        <v>20</v>
      </c>
      <c r="K53" s="2" t="s">
        <v>65</v>
      </c>
      <c r="L53" s="2" t="s">
        <v>348</v>
      </c>
      <c r="M53" s="7" t="str">
        <f>IFERROR(VLOOKUP(H53,#REF!,2,FALSE),"-")</f>
        <v>-</v>
      </c>
      <c r="N53" s="7" t="str">
        <f t="shared" si="1"/>
        <v>0</v>
      </c>
    </row>
    <row r="54" spans="1:14" ht="24.75" customHeight="1" x14ac:dyDescent="0.35">
      <c r="A54" s="3" t="s">
        <v>302</v>
      </c>
      <c r="B54" s="18" t="s">
        <v>72</v>
      </c>
      <c r="C54" s="2" t="s">
        <v>180</v>
      </c>
      <c r="D54" s="29" t="s">
        <v>352</v>
      </c>
      <c r="E54" s="30" t="s">
        <v>31</v>
      </c>
      <c r="F54" s="3" t="s">
        <v>32</v>
      </c>
      <c r="G54" s="33" t="s">
        <v>33</v>
      </c>
      <c r="H54" s="2" t="s">
        <v>343</v>
      </c>
      <c r="I54" s="35" t="s">
        <v>307</v>
      </c>
      <c r="J54" s="10" t="s">
        <v>20</v>
      </c>
      <c r="K54" s="2" t="s">
        <v>65</v>
      </c>
      <c r="L54" s="2" t="s">
        <v>353</v>
      </c>
      <c r="M54" s="7" t="str">
        <f>IFERROR(VLOOKUP(H54,#REF!,2,FALSE),"-")</f>
        <v>-</v>
      </c>
      <c r="N54" s="7" t="str">
        <f t="shared" si="1"/>
        <v>0</v>
      </c>
    </row>
    <row r="55" spans="1:14" ht="24.75" customHeight="1" x14ac:dyDescent="0.35">
      <c r="A55" s="3" t="s">
        <v>302</v>
      </c>
      <c r="B55" s="18" t="s">
        <v>72</v>
      </c>
      <c r="C55" s="2" t="s">
        <v>180</v>
      </c>
      <c r="D55" s="29" t="s">
        <v>354</v>
      </c>
      <c r="E55" s="30" t="s">
        <v>31</v>
      </c>
      <c r="F55" s="3" t="s">
        <v>32</v>
      </c>
      <c r="G55" s="33" t="s">
        <v>33</v>
      </c>
      <c r="H55" s="2" t="s">
        <v>343</v>
      </c>
      <c r="I55" s="35" t="s">
        <v>307</v>
      </c>
      <c r="J55" s="10" t="s">
        <v>20</v>
      </c>
      <c r="K55" s="2" t="s">
        <v>65</v>
      </c>
      <c r="L55" s="2" t="s">
        <v>353</v>
      </c>
      <c r="M55" s="7" t="str">
        <f>IFERROR(VLOOKUP(H55,#REF!,2,FALSE),"-")</f>
        <v>-</v>
      </c>
      <c r="N55" s="7" t="str">
        <f t="shared" si="1"/>
        <v>0</v>
      </c>
    </row>
    <row r="56" spans="1:14" ht="24.75" customHeight="1" x14ac:dyDescent="0.35">
      <c r="A56" s="3" t="s">
        <v>302</v>
      </c>
      <c r="B56" s="18" t="s">
        <v>72</v>
      </c>
      <c r="C56" s="2" t="s">
        <v>355</v>
      </c>
      <c r="D56" s="29" t="s">
        <v>356</v>
      </c>
      <c r="E56" s="30" t="s">
        <v>31</v>
      </c>
      <c r="F56" s="3" t="s">
        <v>32</v>
      </c>
      <c r="G56" s="33" t="s">
        <v>33</v>
      </c>
      <c r="H56" s="2" t="s">
        <v>343</v>
      </c>
      <c r="I56" s="35" t="s">
        <v>307</v>
      </c>
      <c r="J56" s="10" t="s">
        <v>20</v>
      </c>
      <c r="K56" s="2" t="s">
        <v>65</v>
      </c>
      <c r="L56" s="2" t="s">
        <v>357</v>
      </c>
      <c r="M56" s="7" t="str">
        <f>IFERROR(VLOOKUP(H56,#REF!,2,FALSE),"-")</f>
        <v>-</v>
      </c>
      <c r="N56" s="7" t="str">
        <f t="shared" si="1"/>
        <v>0</v>
      </c>
    </row>
    <row r="57" spans="1:14" ht="24.75" customHeight="1" x14ac:dyDescent="0.35">
      <c r="A57" s="3" t="s">
        <v>302</v>
      </c>
      <c r="B57" s="18" t="s">
        <v>72</v>
      </c>
      <c r="C57" s="2" t="s">
        <v>355</v>
      </c>
      <c r="D57" s="29" t="s">
        <v>358</v>
      </c>
      <c r="E57" s="30" t="s">
        <v>31</v>
      </c>
      <c r="F57" s="3" t="s">
        <v>32</v>
      </c>
      <c r="G57" s="33" t="s">
        <v>33</v>
      </c>
      <c r="H57" s="2" t="s">
        <v>343</v>
      </c>
      <c r="I57" s="35" t="s">
        <v>307</v>
      </c>
      <c r="J57" s="10" t="s">
        <v>20</v>
      </c>
      <c r="K57" s="2" t="s">
        <v>65</v>
      </c>
      <c r="L57" s="2" t="s">
        <v>357</v>
      </c>
      <c r="M57" s="7" t="str">
        <f>IFERROR(VLOOKUP(H57,#REF!,2,FALSE),"-")</f>
        <v>-</v>
      </c>
      <c r="N57" s="7" t="str">
        <f t="shared" si="1"/>
        <v>0</v>
      </c>
    </row>
    <row r="58" spans="1:14" ht="24.75" customHeight="1" x14ac:dyDescent="0.35">
      <c r="A58" s="3" t="s">
        <v>302</v>
      </c>
      <c r="B58" s="18" t="s">
        <v>72</v>
      </c>
      <c r="C58" s="2" t="s">
        <v>355</v>
      </c>
      <c r="D58" s="29" t="s">
        <v>359</v>
      </c>
      <c r="E58" s="30" t="s">
        <v>54</v>
      </c>
      <c r="F58" s="3" t="s">
        <v>16</v>
      </c>
      <c r="G58" s="33" t="s">
        <v>17</v>
      </c>
      <c r="H58" s="2" t="s">
        <v>343</v>
      </c>
      <c r="I58" s="35" t="s">
        <v>307</v>
      </c>
      <c r="J58" s="10" t="s">
        <v>20</v>
      </c>
      <c r="K58" s="2" t="s">
        <v>65</v>
      </c>
      <c r="L58" s="2" t="s">
        <v>357</v>
      </c>
      <c r="M58" s="7" t="str">
        <f>IFERROR(VLOOKUP(H58,#REF!,2,FALSE),"-")</f>
        <v>-</v>
      </c>
      <c r="N58" s="7" t="str">
        <f t="shared" si="1"/>
        <v>0</v>
      </c>
    </row>
    <row r="59" spans="1:14" ht="24.75" customHeight="1" x14ac:dyDescent="0.35">
      <c r="A59" s="3" t="s">
        <v>11</v>
      </c>
      <c r="B59" s="18" t="s">
        <v>124</v>
      </c>
      <c r="C59" s="2" t="s">
        <v>22</v>
      </c>
      <c r="D59" s="29" t="s">
        <v>125</v>
      </c>
      <c r="E59" s="30" t="s">
        <v>31</v>
      </c>
      <c r="F59" s="3" t="s">
        <v>32</v>
      </c>
      <c r="G59" s="33" t="s">
        <v>33</v>
      </c>
      <c r="H59" s="2" t="s">
        <v>126</v>
      </c>
      <c r="I59" s="35" t="s">
        <v>19</v>
      </c>
      <c r="J59" s="10" t="s">
        <v>20</v>
      </c>
      <c r="K59" s="2" t="s">
        <v>127</v>
      </c>
      <c r="L59" s="5"/>
      <c r="M59" s="7" t="str">
        <f>IFERROR(VLOOKUP(H59,#REF!,2,FALSE),"-")</f>
        <v>-</v>
      </c>
    </row>
    <row r="60" spans="1:14" ht="24.75" customHeight="1" x14ac:dyDescent="0.35">
      <c r="A60" s="3" t="s">
        <v>11</v>
      </c>
      <c r="B60" s="18" t="s">
        <v>124</v>
      </c>
      <c r="C60" s="2" t="s">
        <v>22</v>
      </c>
      <c r="D60" s="29" t="s">
        <v>128</v>
      </c>
      <c r="E60" s="30" t="s">
        <v>31</v>
      </c>
      <c r="F60" s="3" t="s">
        <v>32</v>
      </c>
      <c r="G60" s="33" t="s">
        <v>33</v>
      </c>
      <c r="H60" s="2" t="s">
        <v>126</v>
      </c>
      <c r="I60" s="35" t="s">
        <v>19</v>
      </c>
      <c r="J60" s="10"/>
      <c r="K60" s="2"/>
      <c r="L60" s="5"/>
      <c r="M60" s="7" t="str">
        <f>IFERROR(VLOOKUP(H60,#REF!,2,FALSE),"-")</f>
        <v>-</v>
      </c>
    </row>
    <row r="61" spans="1:14" ht="24.75" customHeight="1" x14ac:dyDescent="0.35">
      <c r="A61" s="3" t="s">
        <v>11</v>
      </c>
      <c r="B61" s="18" t="s">
        <v>124</v>
      </c>
      <c r="C61" s="2" t="s">
        <v>22</v>
      </c>
      <c r="D61" s="29" t="s">
        <v>129</v>
      </c>
      <c r="E61" s="30" t="s">
        <v>31</v>
      </c>
      <c r="F61" s="3" t="s">
        <v>32</v>
      </c>
      <c r="G61" s="33" t="s">
        <v>33</v>
      </c>
      <c r="H61" s="2" t="s">
        <v>126</v>
      </c>
      <c r="I61" s="35" t="s">
        <v>19</v>
      </c>
      <c r="J61" s="10"/>
      <c r="K61" s="2"/>
      <c r="L61" s="5"/>
      <c r="M61" s="7" t="str">
        <f>IFERROR(VLOOKUP(H61,#REF!,2,FALSE),"-")</f>
        <v>-</v>
      </c>
    </row>
    <row r="62" spans="1:14" ht="24.75" customHeight="1" x14ac:dyDescent="0.35">
      <c r="A62" s="3" t="s">
        <v>11</v>
      </c>
      <c r="B62" s="18" t="s">
        <v>124</v>
      </c>
      <c r="C62" s="2" t="s">
        <v>87</v>
      </c>
      <c r="D62" s="29" t="s">
        <v>101</v>
      </c>
      <c r="E62" s="30" t="s">
        <v>37</v>
      </c>
      <c r="F62" s="3" t="s">
        <v>38</v>
      </c>
      <c r="G62" s="33" t="s">
        <v>39</v>
      </c>
      <c r="H62" s="2" t="s">
        <v>126</v>
      </c>
      <c r="I62" s="35" t="s">
        <v>19</v>
      </c>
      <c r="J62" s="10" t="s">
        <v>20</v>
      </c>
      <c r="K62" s="2" t="s">
        <v>94</v>
      </c>
      <c r="L62" s="5"/>
      <c r="M62" s="7" t="str">
        <f>IFERROR(VLOOKUP(H62,#REF!,2,FALSE),"-")</f>
        <v>-</v>
      </c>
    </row>
    <row r="63" spans="1:14" ht="24.75" customHeight="1" x14ac:dyDescent="0.35">
      <c r="A63" s="3" t="s">
        <v>11</v>
      </c>
      <c r="B63" s="18" t="s">
        <v>124</v>
      </c>
      <c r="C63" s="2" t="s">
        <v>130</v>
      </c>
      <c r="D63" s="29" t="s">
        <v>131</v>
      </c>
      <c r="E63" s="30" t="s">
        <v>44</v>
      </c>
      <c r="F63" s="3" t="s">
        <v>32</v>
      </c>
      <c r="G63" s="33" t="s">
        <v>33</v>
      </c>
      <c r="H63" s="2" t="s">
        <v>126</v>
      </c>
      <c r="I63" s="35" t="s">
        <v>19</v>
      </c>
      <c r="J63" s="10" t="s">
        <v>20</v>
      </c>
      <c r="K63" s="2" t="s">
        <v>65</v>
      </c>
      <c r="L63" s="5"/>
      <c r="M63" s="7" t="str">
        <f>IFERROR(VLOOKUP(H63,#REF!,2,FALSE),"-")</f>
        <v>-</v>
      </c>
    </row>
    <row r="64" spans="1:14" ht="24.75" customHeight="1" x14ac:dyDescent="0.35">
      <c r="A64" s="3" t="s">
        <v>11</v>
      </c>
      <c r="B64" s="18" t="s">
        <v>124</v>
      </c>
      <c r="C64" s="2" t="s">
        <v>87</v>
      </c>
      <c r="D64" s="29" t="s">
        <v>132</v>
      </c>
      <c r="E64" s="30" t="s">
        <v>31</v>
      </c>
      <c r="F64" s="3" t="s">
        <v>32</v>
      </c>
      <c r="G64" s="33" t="s">
        <v>33</v>
      </c>
      <c r="H64" s="2" t="s">
        <v>126</v>
      </c>
      <c r="I64" s="35" t="s">
        <v>19</v>
      </c>
      <c r="J64" s="10"/>
      <c r="K64" s="2"/>
      <c r="L64" s="5"/>
      <c r="M64" s="7" t="str">
        <f>IFERROR(VLOOKUP(H64,#REF!,2,FALSE),"-")</f>
        <v>-</v>
      </c>
    </row>
    <row r="65" spans="1:14" ht="24.75" customHeight="1" x14ac:dyDescent="0.35">
      <c r="A65" s="3" t="s">
        <v>302</v>
      </c>
      <c r="B65" s="18" t="s">
        <v>360</v>
      </c>
      <c r="C65" s="2" t="s">
        <v>77</v>
      </c>
      <c r="D65" s="29" t="s">
        <v>361</v>
      </c>
      <c r="E65" s="30" t="s">
        <v>31</v>
      </c>
      <c r="F65" s="3" t="s">
        <v>32</v>
      </c>
      <c r="G65" s="33" t="s">
        <v>33</v>
      </c>
      <c r="H65" s="2" t="s">
        <v>362</v>
      </c>
      <c r="I65" s="35" t="s">
        <v>307</v>
      </c>
      <c r="J65" s="10" t="s">
        <v>20</v>
      </c>
      <c r="K65" s="2" t="s">
        <v>65</v>
      </c>
      <c r="L65" s="2" t="s">
        <v>363</v>
      </c>
      <c r="M65" s="7" t="str">
        <f>IFERROR(VLOOKUP(H65,#REF!,2,FALSE),"-")</f>
        <v>-</v>
      </c>
      <c r="N65" s="7" t="str">
        <f t="shared" ref="N65:N77" si="2">LEFT(I65,1)</f>
        <v>0</v>
      </c>
    </row>
    <row r="66" spans="1:14" ht="24.75" customHeight="1" x14ac:dyDescent="0.35">
      <c r="A66" s="3" t="s">
        <v>302</v>
      </c>
      <c r="B66" s="18" t="s">
        <v>360</v>
      </c>
      <c r="C66" s="2" t="s">
        <v>87</v>
      </c>
      <c r="D66" s="29" t="s">
        <v>364</v>
      </c>
      <c r="E66" s="30" t="s">
        <v>31</v>
      </c>
      <c r="F66" s="3" t="s">
        <v>32</v>
      </c>
      <c r="G66" s="33" t="s">
        <v>33</v>
      </c>
      <c r="H66" s="2" t="s">
        <v>362</v>
      </c>
      <c r="I66" s="35" t="s">
        <v>307</v>
      </c>
      <c r="J66" s="10" t="s">
        <v>20</v>
      </c>
      <c r="K66" s="2" t="s">
        <v>365</v>
      </c>
      <c r="L66" s="2" t="s">
        <v>366</v>
      </c>
      <c r="M66" s="7" t="str">
        <f>IFERROR(VLOOKUP(H66,#REF!,2,FALSE),"-")</f>
        <v>-</v>
      </c>
      <c r="N66" s="7" t="str">
        <f t="shared" si="2"/>
        <v>0</v>
      </c>
    </row>
    <row r="67" spans="1:14" ht="24.75" customHeight="1" x14ac:dyDescent="0.35">
      <c r="A67" s="3" t="s">
        <v>302</v>
      </c>
      <c r="B67" s="18" t="s">
        <v>360</v>
      </c>
      <c r="C67" s="2" t="s">
        <v>87</v>
      </c>
      <c r="D67" s="29" t="s">
        <v>367</v>
      </c>
      <c r="E67" s="30" t="s">
        <v>31</v>
      </c>
      <c r="F67" s="3" t="s">
        <v>32</v>
      </c>
      <c r="G67" s="33" t="s">
        <v>33</v>
      </c>
      <c r="H67" s="2" t="s">
        <v>362</v>
      </c>
      <c r="I67" s="35" t="s">
        <v>307</v>
      </c>
      <c r="J67" s="10" t="s">
        <v>20</v>
      </c>
      <c r="K67" s="2" t="s">
        <v>365</v>
      </c>
      <c r="L67" s="2" t="s">
        <v>366</v>
      </c>
      <c r="M67" s="7" t="str">
        <f>IFERROR(VLOOKUP(H67,#REF!,2,FALSE),"-")</f>
        <v>-</v>
      </c>
      <c r="N67" s="7" t="str">
        <f t="shared" si="2"/>
        <v>0</v>
      </c>
    </row>
    <row r="68" spans="1:14" ht="24.75" customHeight="1" x14ac:dyDescent="0.35">
      <c r="A68" s="3" t="s">
        <v>302</v>
      </c>
      <c r="B68" s="18" t="s">
        <v>360</v>
      </c>
      <c r="C68" s="2" t="s">
        <v>325</v>
      </c>
      <c r="D68" s="29" t="s">
        <v>368</v>
      </c>
      <c r="E68" s="30" t="s">
        <v>195</v>
      </c>
      <c r="F68" s="3" t="s">
        <v>38</v>
      </c>
      <c r="G68" s="33" t="s">
        <v>196</v>
      </c>
      <c r="H68" s="2" t="s">
        <v>362</v>
      </c>
      <c r="I68" s="35" t="s">
        <v>307</v>
      </c>
      <c r="J68" s="10" t="s">
        <v>20</v>
      </c>
      <c r="K68" s="2" t="s">
        <v>319</v>
      </c>
      <c r="L68" s="2" t="s">
        <v>369</v>
      </c>
      <c r="M68" s="7" t="str">
        <f>IFERROR(VLOOKUP(H68,#REF!,2,FALSE),"-")</f>
        <v>-</v>
      </c>
      <c r="N68" s="7" t="str">
        <f t="shared" si="2"/>
        <v>0</v>
      </c>
    </row>
    <row r="69" spans="1:14" ht="24.75" customHeight="1" x14ac:dyDescent="0.35">
      <c r="A69" s="3" t="s">
        <v>302</v>
      </c>
      <c r="B69" s="18" t="s">
        <v>370</v>
      </c>
      <c r="C69" s="2" t="s">
        <v>371</v>
      </c>
      <c r="D69" s="29" t="s">
        <v>372</v>
      </c>
      <c r="E69" s="30" t="s">
        <v>195</v>
      </c>
      <c r="F69" s="3" t="s">
        <v>38</v>
      </c>
      <c r="G69" s="33" t="s">
        <v>196</v>
      </c>
      <c r="H69" s="2" t="s">
        <v>373</v>
      </c>
      <c r="I69" s="35" t="s">
        <v>112</v>
      </c>
      <c r="J69" s="10" t="s">
        <v>20</v>
      </c>
      <c r="K69" s="2" t="s">
        <v>319</v>
      </c>
      <c r="L69" s="2" t="s">
        <v>374</v>
      </c>
      <c r="M69" s="7" t="str">
        <f>IFERROR(VLOOKUP(H69,#REF!,2,FALSE),"-")</f>
        <v>-</v>
      </c>
      <c r="N69" s="7" t="str">
        <f t="shared" si="2"/>
        <v>1</v>
      </c>
    </row>
    <row r="70" spans="1:14" ht="24.75" customHeight="1" x14ac:dyDescent="0.35">
      <c r="A70" s="3" t="s">
        <v>302</v>
      </c>
      <c r="B70" s="18" t="s">
        <v>370</v>
      </c>
      <c r="C70" s="2" t="s">
        <v>371</v>
      </c>
      <c r="D70" s="29" t="s">
        <v>375</v>
      </c>
      <c r="E70" s="30" t="s">
        <v>195</v>
      </c>
      <c r="F70" s="3" t="s">
        <v>38</v>
      </c>
      <c r="G70" s="33" t="s">
        <v>196</v>
      </c>
      <c r="H70" s="2" t="s">
        <v>373</v>
      </c>
      <c r="I70" s="35" t="s">
        <v>112</v>
      </c>
      <c r="J70" s="10" t="s">
        <v>20</v>
      </c>
      <c r="K70" s="2" t="s">
        <v>319</v>
      </c>
      <c r="L70" s="2" t="s">
        <v>374</v>
      </c>
      <c r="M70" s="7" t="str">
        <f>IFERROR(VLOOKUP(H70,#REF!,2,FALSE),"-")</f>
        <v>-</v>
      </c>
      <c r="N70" s="7" t="str">
        <f t="shared" si="2"/>
        <v>1</v>
      </c>
    </row>
    <row r="71" spans="1:14" ht="24.75" customHeight="1" x14ac:dyDescent="0.35">
      <c r="A71" s="3" t="s">
        <v>302</v>
      </c>
      <c r="B71" s="18" t="s">
        <v>370</v>
      </c>
      <c r="C71" s="2" t="s">
        <v>371</v>
      </c>
      <c r="D71" s="29" t="s">
        <v>376</v>
      </c>
      <c r="E71" s="30" t="s">
        <v>31</v>
      </c>
      <c r="F71" s="3" t="s">
        <v>32</v>
      </c>
      <c r="G71" s="33" t="s">
        <v>33</v>
      </c>
      <c r="H71" s="2" t="s">
        <v>373</v>
      </c>
      <c r="I71" s="35" t="s">
        <v>112</v>
      </c>
      <c r="J71" s="10" t="s">
        <v>20</v>
      </c>
      <c r="K71" s="2" t="s">
        <v>319</v>
      </c>
      <c r="L71" s="2" t="s">
        <v>374</v>
      </c>
      <c r="M71" s="7" t="str">
        <f>IFERROR(VLOOKUP(H71,#REF!,2,FALSE),"-")</f>
        <v>-</v>
      </c>
      <c r="N71" s="7" t="str">
        <f t="shared" si="2"/>
        <v>1</v>
      </c>
    </row>
    <row r="72" spans="1:14" ht="24.75" customHeight="1" x14ac:dyDescent="0.35">
      <c r="A72" s="3" t="s">
        <v>302</v>
      </c>
      <c r="B72" s="18" t="s">
        <v>370</v>
      </c>
      <c r="C72" s="2" t="s">
        <v>371</v>
      </c>
      <c r="D72" s="29" t="s">
        <v>377</v>
      </c>
      <c r="E72" s="30" t="s">
        <v>195</v>
      </c>
      <c r="F72" s="3" t="s">
        <v>38</v>
      </c>
      <c r="G72" s="33" t="s">
        <v>196</v>
      </c>
      <c r="H72" s="2" t="s">
        <v>373</v>
      </c>
      <c r="I72" s="35" t="s">
        <v>112</v>
      </c>
      <c r="J72" s="10" t="s">
        <v>20</v>
      </c>
      <c r="K72" s="2" t="s">
        <v>319</v>
      </c>
      <c r="L72" s="2" t="s">
        <v>374</v>
      </c>
      <c r="M72" s="7" t="str">
        <f>IFERROR(VLOOKUP(H72,#REF!,2,FALSE),"-")</f>
        <v>-</v>
      </c>
      <c r="N72" s="7" t="str">
        <f t="shared" si="2"/>
        <v>1</v>
      </c>
    </row>
    <row r="73" spans="1:14" ht="24.75" customHeight="1" x14ac:dyDescent="0.35">
      <c r="A73" s="3" t="s">
        <v>302</v>
      </c>
      <c r="B73" s="18" t="s">
        <v>370</v>
      </c>
      <c r="C73" s="2" t="s">
        <v>378</v>
      </c>
      <c r="D73" s="29" t="s">
        <v>379</v>
      </c>
      <c r="E73" s="30" t="s">
        <v>195</v>
      </c>
      <c r="F73" s="3" t="s">
        <v>38</v>
      </c>
      <c r="G73" s="33" t="s">
        <v>196</v>
      </c>
      <c r="H73" s="2" t="s">
        <v>373</v>
      </c>
      <c r="I73" s="35" t="s">
        <v>112</v>
      </c>
      <c r="J73" s="10" t="s">
        <v>20</v>
      </c>
      <c r="K73" s="2" t="s">
        <v>380</v>
      </c>
      <c r="L73" s="2" t="s">
        <v>381</v>
      </c>
      <c r="M73" s="7" t="str">
        <f>IFERROR(VLOOKUP(H73,#REF!,2,FALSE),"-")</f>
        <v>-</v>
      </c>
      <c r="N73" s="7" t="str">
        <f t="shared" si="2"/>
        <v>1</v>
      </c>
    </row>
    <row r="74" spans="1:14" ht="24.75" customHeight="1" x14ac:dyDescent="0.35">
      <c r="A74" s="3" t="s">
        <v>302</v>
      </c>
      <c r="B74" s="18" t="s">
        <v>370</v>
      </c>
      <c r="C74" s="2" t="s">
        <v>378</v>
      </c>
      <c r="D74" s="29" t="s">
        <v>382</v>
      </c>
      <c r="E74" s="30" t="s">
        <v>31</v>
      </c>
      <c r="F74" s="3" t="s">
        <v>32</v>
      </c>
      <c r="G74" s="33" t="s">
        <v>33</v>
      </c>
      <c r="H74" s="2" t="s">
        <v>373</v>
      </c>
      <c r="I74" s="35" t="s">
        <v>112</v>
      </c>
      <c r="J74" s="10" t="s">
        <v>20</v>
      </c>
      <c r="K74" s="2" t="s">
        <v>380</v>
      </c>
      <c r="L74" s="2" t="s">
        <v>381</v>
      </c>
      <c r="M74" s="7" t="str">
        <f>IFERROR(VLOOKUP(H74,#REF!,2,FALSE),"-")</f>
        <v>-</v>
      </c>
      <c r="N74" s="7" t="str">
        <f t="shared" si="2"/>
        <v>1</v>
      </c>
    </row>
    <row r="75" spans="1:14" ht="24.75" customHeight="1" x14ac:dyDescent="0.35">
      <c r="A75" s="3" t="s">
        <v>302</v>
      </c>
      <c r="B75" s="18" t="s">
        <v>370</v>
      </c>
      <c r="C75" s="2" t="s">
        <v>378</v>
      </c>
      <c r="D75" s="29" t="s">
        <v>383</v>
      </c>
      <c r="E75" s="30" t="s">
        <v>31</v>
      </c>
      <c r="F75" s="3" t="s">
        <v>32</v>
      </c>
      <c r="G75" s="33" t="s">
        <v>33</v>
      </c>
      <c r="H75" s="2" t="s">
        <v>373</v>
      </c>
      <c r="I75" s="35" t="s">
        <v>112</v>
      </c>
      <c r="J75" s="10" t="s">
        <v>20</v>
      </c>
      <c r="K75" s="2" t="s">
        <v>380</v>
      </c>
      <c r="L75" s="2" t="s">
        <v>381</v>
      </c>
      <c r="M75" s="7" t="str">
        <f>IFERROR(VLOOKUP(H75,#REF!,2,FALSE),"-")</f>
        <v>-</v>
      </c>
      <c r="N75" s="7" t="str">
        <f t="shared" si="2"/>
        <v>1</v>
      </c>
    </row>
    <row r="76" spans="1:14" ht="24.75" customHeight="1" x14ac:dyDescent="0.35">
      <c r="A76" s="3" t="s">
        <v>302</v>
      </c>
      <c r="B76" s="18" t="s">
        <v>370</v>
      </c>
      <c r="C76" s="2" t="s">
        <v>378</v>
      </c>
      <c r="D76" s="29" t="s">
        <v>384</v>
      </c>
      <c r="E76" s="30" t="s">
        <v>31</v>
      </c>
      <c r="F76" s="3" t="s">
        <v>32</v>
      </c>
      <c r="G76" s="33" t="s">
        <v>33</v>
      </c>
      <c r="H76" s="2" t="s">
        <v>373</v>
      </c>
      <c r="I76" s="35" t="s">
        <v>112</v>
      </c>
      <c r="J76" s="10" t="s">
        <v>20</v>
      </c>
      <c r="K76" s="2" t="s">
        <v>380</v>
      </c>
      <c r="L76" s="2" t="s">
        <v>381</v>
      </c>
      <c r="M76" s="7" t="str">
        <f>IFERROR(VLOOKUP(H76,#REF!,2,FALSE),"-")</f>
        <v>-</v>
      </c>
      <c r="N76" s="7" t="str">
        <f t="shared" si="2"/>
        <v>1</v>
      </c>
    </row>
    <row r="77" spans="1:14" ht="24.75" customHeight="1" x14ac:dyDescent="0.35">
      <c r="A77" s="3" t="s">
        <v>302</v>
      </c>
      <c r="B77" s="18" t="s">
        <v>370</v>
      </c>
      <c r="C77" s="2" t="s">
        <v>292</v>
      </c>
      <c r="D77" s="29" t="s">
        <v>385</v>
      </c>
      <c r="E77" s="30" t="s">
        <v>195</v>
      </c>
      <c r="F77" s="3" t="s">
        <v>38</v>
      </c>
      <c r="G77" s="33" t="s">
        <v>196</v>
      </c>
      <c r="H77" s="2" t="s">
        <v>373</v>
      </c>
      <c r="I77" s="35" t="s">
        <v>112</v>
      </c>
      <c r="J77" s="10" t="s">
        <v>20</v>
      </c>
      <c r="K77" s="2" t="s">
        <v>21</v>
      </c>
      <c r="L77" s="2" t="s">
        <v>386</v>
      </c>
      <c r="M77" s="7" t="str">
        <f>IFERROR(VLOOKUP(H77,#REF!,2,FALSE),"-")</f>
        <v>-</v>
      </c>
      <c r="N77" s="7" t="str">
        <f t="shared" si="2"/>
        <v>1</v>
      </c>
    </row>
    <row r="78" spans="1:14" ht="24.75" customHeight="1" x14ac:dyDescent="0.35">
      <c r="A78" s="3" t="s">
        <v>11</v>
      </c>
      <c r="B78" s="18" t="s">
        <v>582</v>
      </c>
      <c r="C78" s="2" t="s">
        <v>180</v>
      </c>
      <c r="D78" s="29" t="s">
        <v>235</v>
      </c>
      <c r="E78" s="30" t="s">
        <v>31</v>
      </c>
      <c r="F78" s="3" t="s">
        <v>32</v>
      </c>
      <c r="G78" s="33" t="s">
        <v>33</v>
      </c>
      <c r="H78" s="2" t="s">
        <v>236</v>
      </c>
      <c r="I78" s="35" t="s">
        <v>19</v>
      </c>
      <c r="J78" s="10" t="s">
        <v>20</v>
      </c>
      <c r="K78" s="2" t="s">
        <v>94</v>
      </c>
      <c r="L78" s="5"/>
      <c r="M78" s="7" t="str">
        <f>IFERROR(VLOOKUP(H78,#REF!,2,FALSE),"-")</f>
        <v>-</v>
      </c>
    </row>
    <row r="79" spans="1:14" ht="24.75" customHeight="1" x14ac:dyDescent="0.35">
      <c r="A79" s="3" t="s">
        <v>11</v>
      </c>
      <c r="B79" s="18" t="s">
        <v>582</v>
      </c>
      <c r="C79" s="2" t="s">
        <v>180</v>
      </c>
      <c r="D79" s="29" t="s">
        <v>237</v>
      </c>
      <c r="E79" s="30" t="s">
        <v>31</v>
      </c>
      <c r="F79" s="3" t="s">
        <v>32</v>
      </c>
      <c r="G79" s="33" t="s">
        <v>33</v>
      </c>
      <c r="H79" s="2" t="s">
        <v>236</v>
      </c>
      <c r="I79" s="35" t="s">
        <v>19</v>
      </c>
      <c r="J79" s="10"/>
      <c r="K79" s="2"/>
      <c r="L79" s="5"/>
      <c r="M79" s="7" t="str">
        <f>IFERROR(VLOOKUP(H79,#REF!,2,FALSE),"-")</f>
        <v>-</v>
      </c>
    </row>
    <row r="80" spans="1:14" ht="24.75" customHeight="1" x14ac:dyDescent="0.35">
      <c r="A80" s="3" t="s">
        <v>11</v>
      </c>
      <c r="B80" s="18" t="s">
        <v>582</v>
      </c>
      <c r="C80" s="2" t="s">
        <v>142</v>
      </c>
      <c r="D80" s="29" t="s">
        <v>238</v>
      </c>
      <c r="E80" s="30" t="s">
        <v>195</v>
      </c>
      <c r="F80" s="3" t="s">
        <v>38</v>
      </c>
      <c r="G80" s="33" t="s">
        <v>196</v>
      </c>
      <c r="H80" s="2" t="s">
        <v>236</v>
      </c>
      <c r="I80" s="35" t="s">
        <v>19</v>
      </c>
      <c r="J80" s="10" t="s">
        <v>20</v>
      </c>
      <c r="K80" s="2" t="s">
        <v>65</v>
      </c>
      <c r="L80" s="5"/>
      <c r="M80" s="7" t="str">
        <f>IFERROR(VLOOKUP(H80,#REF!,2,FALSE),"-")</f>
        <v>-</v>
      </c>
    </row>
    <row r="81" spans="1:14" ht="24.75" customHeight="1" x14ac:dyDescent="0.35">
      <c r="A81" s="3" t="s">
        <v>11</v>
      </c>
      <c r="B81" s="18" t="s">
        <v>582</v>
      </c>
      <c r="C81" s="2" t="s">
        <v>142</v>
      </c>
      <c r="D81" s="29" t="s">
        <v>239</v>
      </c>
      <c r="E81" s="30" t="s">
        <v>31</v>
      </c>
      <c r="F81" s="3" t="s">
        <v>32</v>
      </c>
      <c r="G81" s="33" t="s">
        <v>33</v>
      </c>
      <c r="H81" s="2" t="s">
        <v>236</v>
      </c>
      <c r="I81" s="35" t="s">
        <v>19</v>
      </c>
      <c r="J81" s="10"/>
      <c r="K81" s="2"/>
      <c r="L81" s="5"/>
      <c r="M81" s="7" t="str">
        <f>IFERROR(VLOOKUP(H81,#REF!,2,FALSE),"-")</f>
        <v>-</v>
      </c>
    </row>
    <row r="82" spans="1:14" ht="24.75" customHeight="1" x14ac:dyDescent="0.35">
      <c r="A82" s="3" t="s">
        <v>11</v>
      </c>
      <c r="B82" s="18" t="s">
        <v>582</v>
      </c>
      <c r="C82" s="2" t="s">
        <v>77</v>
      </c>
      <c r="D82" s="29" t="s">
        <v>110</v>
      </c>
      <c r="E82" s="30" t="s">
        <v>37</v>
      </c>
      <c r="F82" s="3" t="s">
        <v>38</v>
      </c>
      <c r="G82" s="33" t="s">
        <v>39</v>
      </c>
      <c r="H82" s="2" t="s">
        <v>236</v>
      </c>
      <c r="I82" s="35" t="s">
        <v>19</v>
      </c>
      <c r="J82" s="10" t="s">
        <v>20</v>
      </c>
      <c r="K82" s="2" t="s">
        <v>190</v>
      </c>
      <c r="L82" s="5"/>
      <c r="M82" s="7" t="str">
        <f>IFERROR(VLOOKUP(H82,#REF!,2,FALSE),"-")</f>
        <v>-</v>
      </c>
    </row>
    <row r="83" spans="1:14" ht="24.75" customHeight="1" x14ac:dyDescent="0.35">
      <c r="A83" s="3" t="s">
        <v>11</v>
      </c>
      <c r="B83" s="18" t="s">
        <v>582</v>
      </c>
      <c r="C83" s="2" t="s">
        <v>77</v>
      </c>
      <c r="D83" s="29" t="s">
        <v>240</v>
      </c>
      <c r="E83" s="30" t="s">
        <v>31</v>
      </c>
      <c r="F83" s="3" t="s">
        <v>32</v>
      </c>
      <c r="G83" s="33" t="s">
        <v>33</v>
      </c>
      <c r="H83" s="2" t="s">
        <v>236</v>
      </c>
      <c r="I83" s="35" t="s">
        <v>19</v>
      </c>
      <c r="J83" s="10"/>
      <c r="K83" s="2"/>
      <c r="L83" s="5"/>
      <c r="M83" s="7" t="str">
        <f>IFERROR(VLOOKUP(H83,#REF!,2,FALSE),"-")</f>
        <v>-</v>
      </c>
    </row>
    <row r="84" spans="1:14" ht="24.75" customHeight="1" x14ac:dyDescent="0.35">
      <c r="A84" s="3" t="s">
        <v>11</v>
      </c>
      <c r="B84" s="18" t="s">
        <v>241</v>
      </c>
      <c r="C84" s="2" t="s">
        <v>77</v>
      </c>
      <c r="D84" s="29" t="s">
        <v>242</v>
      </c>
      <c r="E84" s="30" t="s">
        <v>195</v>
      </c>
      <c r="F84" s="3" t="s">
        <v>38</v>
      </c>
      <c r="G84" s="33" t="s">
        <v>196</v>
      </c>
      <c r="H84" s="2" t="s">
        <v>243</v>
      </c>
      <c r="I84" s="35" t="s">
        <v>112</v>
      </c>
      <c r="J84" s="10" t="s">
        <v>20</v>
      </c>
      <c r="K84" s="2" t="s">
        <v>65</v>
      </c>
      <c r="L84" s="5"/>
      <c r="M84" s="7" t="str">
        <f>IFERROR(VLOOKUP(H84,#REF!,2,FALSE),"-")</f>
        <v>-</v>
      </c>
      <c r="N84" s="7" t="str">
        <f t="shared" ref="N84:N96" si="3">LEFT(I84,1)</f>
        <v>1</v>
      </c>
    </row>
    <row r="85" spans="1:14" ht="24.75" customHeight="1" x14ac:dyDescent="0.35">
      <c r="A85" s="3" t="s">
        <v>11</v>
      </c>
      <c r="B85" s="18" t="s">
        <v>241</v>
      </c>
      <c r="C85" s="2" t="s">
        <v>77</v>
      </c>
      <c r="D85" s="29" t="s">
        <v>244</v>
      </c>
      <c r="E85" s="30" t="s">
        <v>31</v>
      </c>
      <c r="F85" s="3" t="s">
        <v>32</v>
      </c>
      <c r="G85" s="33" t="s">
        <v>33</v>
      </c>
      <c r="H85" s="2" t="s">
        <v>243</v>
      </c>
      <c r="I85" s="35" t="s">
        <v>112</v>
      </c>
      <c r="J85" s="10"/>
      <c r="K85" s="2"/>
      <c r="L85" s="5"/>
      <c r="M85" s="7" t="str">
        <f>IFERROR(VLOOKUP(H85,#REF!,2,FALSE),"-")</f>
        <v>-</v>
      </c>
      <c r="N85" s="7" t="str">
        <f t="shared" si="3"/>
        <v>1</v>
      </c>
    </row>
    <row r="86" spans="1:14" ht="24.75" customHeight="1" x14ac:dyDescent="0.35">
      <c r="A86" s="3" t="s">
        <v>11</v>
      </c>
      <c r="B86" s="18" t="s">
        <v>241</v>
      </c>
      <c r="C86" s="2" t="s">
        <v>245</v>
      </c>
      <c r="D86" s="29" t="s">
        <v>246</v>
      </c>
      <c r="E86" s="30" t="s">
        <v>54</v>
      </c>
      <c r="F86" s="3" t="s">
        <v>16</v>
      </c>
      <c r="G86" s="33" t="s">
        <v>17</v>
      </c>
      <c r="H86" s="2" t="s">
        <v>243</v>
      </c>
      <c r="I86" s="35" t="s">
        <v>112</v>
      </c>
      <c r="J86" s="10" t="s">
        <v>20</v>
      </c>
      <c r="K86" s="2" t="s">
        <v>65</v>
      </c>
      <c r="L86" s="5"/>
      <c r="M86" s="7" t="str">
        <f>IFERROR(VLOOKUP(H86,#REF!,2,FALSE),"-")</f>
        <v>-</v>
      </c>
      <c r="N86" s="7" t="str">
        <f t="shared" si="3"/>
        <v>1</v>
      </c>
    </row>
    <row r="87" spans="1:14" ht="24.75" customHeight="1" x14ac:dyDescent="0.35">
      <c r="A87" s="3" t="s">
        <v>11</v>
      </c>
      <c r="B87" s="18" t="s">
        <v>241</v>
      </c>
      <c r="C87" s="2" t="s">
        <v>247</v>
      </c>
      <c r="D87" s="29" t="s">
        <v>248</v>
      </c>
      <c r="E87" s="30" t="s">
        <v>148</v>
      </c>
      <c r="F87" s="3" t="s">
        <v>32</v>
      </c>
      <c r="G87" s="33" t="s">
        <v>33</v>
      </c>
      <c r="H87" s="2" t="s">
        <v>243</v>
      </c>
      <c r="I87" s="35" t="s">
        <v>112</v>
      </c>
      <c r="J87" s="10" t="s">
        <v>20</v>
      </c>
      <c r="K87" s="2" t="s">
        <v>94</v>
      </c>
      <c r="L87" s="5"/>
      <c r="M87" s="7" t="str">
        <f>IFERROR(VLOOKUP(H87,#REF!,2,FALSE),"-")</f>
        <v>-</v>
      </c>
      <c r="N87" s="7" t="str">
        <f t="shared" si="3"/>
        <v>1</v>
      </c>
    </row>
    <row r="88" spans="1:14" ht="24.75" customHeight="1" x14ac:dyDescent="0.35">
      <c r="A88" s="3" t="s">
        <v>302</v>
      </c>
      <c r="B88" s="18" t="s">
        <v>387</v>
      </c>
      <c r="C88" s="2" t="s">
        <v>87</v>
      </c>
      <c r="D88" s="29" t="s">
        <v>388</v>
      </c>
      <c r="E88" s="30" t="s">
        <v>31</v>
      </c>
      <c r="F88" s="3" t="s">
        <v>32</v>
      </c>
      <c r="G88" s="33" t="s">
        <v>33</v>
      </c>
      <c r="H88" s="2" t="s">
        <v>389</v>
      </c>
      <c r="I88" s="35" t="s">
        <v>307</v>
      </c>
      <c r="J88" s="10" t="s">
        <v>20</v>
      </c>
      <c r="K88" s="11" t="s">
        <v>94</v>
      </c>
      <c r="L88" s="11" t="s">
        <v>390</v>
      </c>
      <c r="M88" s="7" t="str">
        <f>IFERROR(VLOOKUP(H88,#REF!,2,FALSE),"-")</f>
        <v>-</v>
      </c>
      <c r="N88" s="7" t="str">
        <f t="shared" si="3"/>
        <v>0</v>
      </c>
    </row>
    <row r="89" spans="1:14" ht="24.75" customHeight="1" x14ac:dyDescent="0.35">
      <c r="A89" s="3" t="s">
        <v>302</v>
      </c>
      <c r="B89" s="18" t="s">
        <v>387</v>
      </c>
      <c r="C89" s="2" t="s">
        <v>391</v>
      </c>
      <c r="D89" s="29" t="s">
        <v>392</v>
      </c>
      <c r="E89" s="30" t="s">
        <v>31</v>
      </c>
      <c r="F89" s="3" t="s">
        <v>32</v>
      </c>
      <c r="G89" s="33" t="s">
        <v>33</v>
      </c>
      <c r="H89" s="2" t="s">
        <v>389</v>
      </c>
      <c r="I89" s="35" t="s">
        <v>307</v>
      </c>
      <c r="J89" s="10" t="s">
        <v>20</v>
      </c>
      <c r="K89" s="11" t="s">
        <v>65</v>
      </c>
      <c r="L89" s="11" t="s">
        <v>393</v>
      </c>
      <c r="M89" s="7" t="str">
        <f>IFERROR(VLOOKUP(H89,#REF!,2,FALSE),"-")</f>
        <v>-</v>
      </c>
      <c r="N89" s="7" t="str">
        <f t="shared" si="3"/>
        <v>0</v>
      </c>
    </row>
    <row r="90" spans="1:14" ht="24.75" customHeight="1" x14ac:dyDescent="0.35">
      <c r="A90" s="3" t="s">
        <v>302</v>
      </c>
      <c r="B90" s="18" t="s">
        <v>387</v>
      </c>
      <c r="C90" s="2" t="s">
        <v>292</v>
      </c>
      <c r="D90" s="29" t="s">
        <v>394</v>
      </c>
      <c r="E90" s="30" t="s">
        <v>31</v>
      </c>
      <c r="F90" s="3" t="s">
        <v>32</v>
      </c>
      <c r="G90" s="33" t="s">
        <v>33</v>
      </c>
      <c r="H90" s="2" t="s">
        <v>389</v>
      </c>
      <c r="I90" s="35" t="s">
        <v>307</v>
      </c>
      <c r="J90" s="10" t="s">
        <v>20</v>
      </c>
      <c r="K90" s="11" t="s">
        <v>21</v>
      </c>
      <c r="L90" s="11" t="s">
        <v>395</v>
      </c>
      <c r="M90" s="7" t="str">
        <f>IFERROR(VLOOKUP(H90,#REF!,2,FALSE),"-")</f>
        <v>-</v>
      </c>
      <c r="N90" s="7" t="str">
        <f t="shared" si="3"/>
        <v>0</v>
      </c>
    </row>
    <row r="91" spans="1:14" ht="24.75" customHeight="1" x14ac:dyDescent="0.35">
      <c r="A91" s="3" t="s">
        <v>302</v>
      </c>
      <c r="B91" s="18" t="s">
        <v>387</v>
      </c>
      <c r="C91" s="2" t="s">
        <v>115</v>
      </c>
      <c r="D91" s="29" t="s">
        <v>396</v>
      </c>
      <c r="E91" s="30" t="s">
        <v>195</v>
      </c>
      <c r="F91" s="3" t="s">
        <v>38</v>
      </c>
      <c r="G91" s="33" t="s">
        <v>196</v>
      </c>
      <c r="H91" s="2" t="s">
        <v>389</v>
      </c>
      <c r="I91" s="35" t="s">
        <v>307</v>
      </c>
      <c r="J91" s="10" t="s">
        <v>20</v>
      </c>
      <c r="K91" s="11" t="s">
        <v>319</v>
      </c>
      <c r="L91" s="11" t="s">
        <v>397</v>
      </c>
      <c r="M91" s="7" t="str">
        <f>IFERROR(VLOOKUP(H91,#REF!,2,FALSE),"-")</f>
        <v>-</v>
      </c>
      <c r="N91" s="7" t="str">
        <f t="shared" si="3"/>
        <v>0</v>
      </c>
    </row>
    <row r="92" spans="1:14" ht="24.75" customHeight="1" x14ac:dyDescent="0.35">
      <c r="A92" s="3" t="s">
        <v>302</v>
      </c>
      <c r="B92" s="18" t="s">
        <v>387</v>
      </c>
      <c r="C92" s="2" t="s">
        <v>398</v>
      </c>
      <c r="D92" s="29" t="s">
        <v>399</v>
      </c>
      <c r="E92" s="30" t="s">
        <v>31</v>
      </c>
      <c r="F92" s="3" t="s">
        <v>32</v>
      </c>
      <c r="G92" s="33" t="s">
        <v>33</v>
      </c>
      <c r="H92" s="2" t="s">
        <v>389</v>
      </c>
      <c r="I92" s="35" t="s">
        <v>307</v>
      </c>
      <c r="J92" s="10" t="s">
        <v>20</v>
      </c>
      <c r="K92" s="11" t="s">
        <v>58</v>
      </c>
      <c r="L92" s="11" t="s">
        <v>400</v>
      </c>
      <c r="M92" s="7" t="str">
        <f>IFERROR(VLOOKUP(H92,#REF!,2,FALSE),"-")</f>
        <v>-</v>
      </c>
      <c r="N92" s="7" t="str">
        <f t="shared" si="3"/>
        <v>0</v>
      </c>
    </row>
    <row r="93" spans="1:14" ht="24.75" customHeight="1" x14ac:dyDescent="0.35">
      <c r="A93" s="3" t="s">
        <v>302</v>
      </c>
      <c r="B93" s="18" t="s">
        <v>387</v>
      </c>
      <c r="C93" s="2" t="s">
        <v>59</v>
      </c>
      <c r="D93" s="29" t="s">
        <v>401</v>
      </c>
      <c r="E93" s="30" t="s">
        <v>195</v>
      </c>
      <c r="F93" s="3" t="s">
        <v>38</v>
      </c>
      <c r="G93" s="33" t="s">
        <v>196</v>
      </c>
      <c r="H93" s="2" t="s">
        <v>389</v>
      </c>
      <c r="I93" s="35" t="s">
        <v>307</v>
      </c>
      <c r="J93" s="10" t="s">
        <v>20</v>
      </c>
      <c r="K93" s="11" t="s">
        <v>65</v>
      </c>
      <c r="L93" s="11" t="s">
        <v>402</v>
      </c>
      <c r="M93" s="7" t="str">
        <f>IFERROR(VLOOKUP(H93,#REF!,2,FALSE),"-")</f>
        <v>-</v>
      </c>
      <c r="N93" s="7" t="str">
        <f t="shared" si="3"/>
        <v>0</v>
      </c>
    </row>
    <row r="94" spans="1:14" ht="24.75" customHeight="1" x14ac:dyDescent="0.35">
      <c r="A94" s="3" t="s">
        <v>302</v>
      </c>
      <c r="B94" s="18" t="s">
        <v>387</v>
      </c>
      <c r="C94" s="2" t="s">
        <v>41</v>
      </c>
      <c r="D94" s="29" t="s">
        <v>403</v>
      </c>
      <c r="E94" s="30" t="s">
        <v>31</v>
      </c>
      <c r="F94" s="3" t="s">
        <v>32</v>
      </c>
      <c r="G94" s="33" t="s">
        <v>33</v>
      </c>
      <c r="H94" s="2" t="s">
        <v>389</v>
      </c>
      <c r="I94" s="35" t="s">
        <v>307</v>
      </c>
      <c r="J94" s="10" t="s">
        <v>20</v>
      </c>
      <c r="K94" s="11" t="s">
        <v>21</v>
      </c>
      <c r="L94" s="11" t="s">
        <v>404</v>
      </c>
      <c r="M94" s="7" t="str">
        <f>IFERROR(VLOOKUP(H94,#REF!,2,FALSE),"-")</f>
        <v>-</v>
      </c>
      <c r="N94" s="7" t="str">
        <f t="shared" si="3"/>
        <v>0</v>
      </c>
    </row>
    <row r="95" spans="1:14" ht="24.75" customHeight="1" x14ac:dyDescent="0.35">
      <c r="A95" s="3" t="s">
        <v>302</v>
      </c>
      <c r="B95" s="18" t="s">
        <v>387</v>
      </c>
      <c r="C95" s="2" t="s">
        <v>405</v>
      </c>
      <c r="D95" s="29" t="s">
        <v>406</v>
      </c>
      <c r="E95" s="30" t="s">
        <v>31</v>
      </c>
      <c r="F95" s="3" t="s">
        <v>32</v>
      </c>
      <c r="G95" s="33" t="s">
        <v>33</v>
      </c>
      <c r="H95" s="2" t="s">
        <v>389</v>
      </c>
      <c r="I95" s="35" t="s">
        <v>307</v>
      </c>
      <c r="J95" s="10" t="s">
        <v>20</v>
      </c>
      <c r="K95" s="11" t="s">
        <v>319</v>
      </c>
      <c r="L95" s="11" t="s">
        <v>407</v>
      </c>
      <c r="M95" s="7" t="str">
        <f>IFERROR(VLOOKUP(H95,#REF!,2,FALSE),"-")</f>
        <v>-</v>
      </c>
      <c r="N95" s="7" t="str">
        <f t="shared" si="3"/>
        <v>0</v>
      </c>
    </row>
    <row r="96" spans="1:14" ht="24.75" customHeight="1" x14ac:dyDescent="0.35">
      <c r="A96" s="3" t="s">
        <v>302</v>
      </c>
      <c r="B96" s="18" t="s">
        <v>387</v>
      </c>
      <c r="C96" s="2" t="s">
        <v>408</v>
      </c>
      <c r="D96" s="29" t="s">
        <v>409</v>
      </c>
      <c r="E96" s="30" t="s">
        <v>195</v>
      </c>
      <c r="F96" s="3" t="s">
        <v>38</v>
      </c>
      <c r="G96" s="33" t="s">
        <v>196</v>
      </c>
      <c r="H96" s="2" t="s">
        <v>389</v>
      </c>
      <c r="I96" s="35" t="s">
        <v>307</v>
      </c>
      <c r="J96" s="10" t="s">
        <v>20</v>
      </c>
      <c r="K96" s="11" t="s">
        <v>319</v>
      </c>
      <c r="L96" s="11" t="s">
        <v>410</v>
      </c>
      <c r="M96" s="7" t="str">
        <f>IFERROR(VLOOKUP(H96,#REF!,2,FALSE),"-")</f>
        <v>-</v>
      </c>
      <c r="N96" s="7" t="str">
        <f t="shared" si="3"/>
        <v>0</v>
      </c>
    </row>
    <row r="97" spans="1:13" ht="24.75" customHeight="1" x14ac:dyDescent="0.35">
      <c r="A97" s="3" t="s">
        <v>302</v>
      </c>
      <c r="B97" s="18" t="s">
        <v>411</v>
      </c>
      <c r="C97" s="2" t="s">
        <v>412</v>
      </c>
      <c r="D97" s="29" t="s">
        <v>413</v>
      </c>
      <c r="E97" s="30" t="s">
        <v>31</v>
      </c>
      <c r="F97" s="3" t="s">
        <v>32</v>
      </c>
      <c r="G97" s="33" t="s">
        <v>33</v>
      </c>
      <c r="H97" s="2" t="s">
        <v>414</v>
      </c>
      <c r="I97" s="35" t="s">
        <v>19</v>
      </c>
      <c r="J97" s="10" t="s">
        <v>20</v>
      </c>
      <c r="K97" s="2" t="s">
        <v>415</v>
      </c>
      <c r="L97" s="2" t="s">
        <v>416</v>
      </c>
      <c r="M97" s="7" t="str">
        <f>IFERROR(VLOOKUP(H97,#REF!,2,FALSE),"-")</f>
        <v>-</v>
      </c>
    </row>
    <row r="98" spans="1:13" ht="24.75" customHeight="1" x14ac:dyDescent="0.35">
      <c r="A98" s="3" t="s">
        <v>302</v>
      </c>
      <c r="B98" s="18" t="s">
        <v>411</v>
      </c>
      <c r="C98" s="2" t="s">
        <v>142</v>
      </c>
      <c r="D98" s="29" t="s">
        <v>417</v>
      </c>
      <c r="E98" s="30" t="s">
        <v>31</v>
      </c>
      <c r="F98" s="3" t="s">
        <v>32</v>
      </c>
      <c r="G98" s="33" t="s">
        <v>33</v>
      </c>
      <c r="H98" s="2" t="s">
        <v>414</v>
      </c>
      <c r="I98" s="35" t="s">
        <v>19</v>
      </c>
      <c r="J98" s="10" t="s">
        <v>20</v>
      </c>
      <c r="K98" s="2" t="s">
        <v>113</v>
      </c>
      <c r="L98" s="2" t="s">
        <v>418</v>
      </c>
      <c r="M98" s="7" t="str">
        <f>IFERROR(VLOOKUP(H98,#REF!,2,FALSE),"-")</f>
        <v>-</v>
      </c>
    </row>
    <row r="99" spans="1:13" ht="24.75" customHeight="1" x14ac:dyDescent="0.35">
      <c r="A99" s="3" t="s">
        <v>302</v>
      </c>
      <c r="B99" s="18" t="s">
        <v>411</v>
      </c>
      <c r="C99" s="2" t="s">
        <v>142</v>
      </c>
      <c r="D99" s="29" t="s">
        <v>419</v>
      </c>
      <c r="E99" s="30" t="s">
        <v>31</v>
      </c>
      <c r="F99" s="3" t="s">
        <v>32</v>
      </c>
      <c r="G99" s="33" t="s">
        <v>33</v>
      </c>
      <c r="H99" s="2" t="s">
        <v>414</v>
      </c>
      <c r="I99" s="35" t="s">
        <v>19</v>
      </c>
      <c r="J99" s="10" t="s">
        <v>20</v>
      </c>
      <c r="K99" s="2" t="s">
        <v>113</v>
      </c>
      <c r="L99" s="2" t="s">
        <v>418</v>
      </c>
      <c r="M99" s="7" t="str">
        <f>IFERROR(VLOOKUP(H99,#REF!,2,FALSE),"-")</f>
        <v>-</v>
      </c>
    </row>
    <row r="100" spans="1:13" ht="24.75" customHeight="1" x14ac:dyDescent="0.35">
      <c r="A100" s="3" t="s">
        <v>302</v>
      </c>
      <c r="B100" s="18" t="s">
        <v>411</v>
      </c>
      <c r="C100" s="2" t="s">
        <v>142</v>
      </c>
      <c r="D100" s="29" t="s">
        <v>420</v>
      </c>
      <c r="E100" s="30" t="s">
        <v>31</v>
      </c>
      <c r="F100" s="3" t="s">
        <v>32</v>
      </c>
      <c r="G100" s="33" t="s">
        <v>33</v>
      </c>
      <c r="H100" s="2" t="s">
        <v>414</v>
      </c>
      <c r="I100" s="35" t="s">
        <v>19</v>
      </c>
      <c r="J100" s="10" t="s">
        <v>20</v>
      </c>
      <c r="K100" s="2" t="s">
        <v>113</v>
      </c>
      <c r="L100" s="2" t="s">
        <v>418</v>
      </c>
      <c r="M100" s="7" t="str">
        <f>IFERROR(VLOOKUP(H100,#REF!,2,FALSE),"-")</f>
        <v>-</v>
      </c>
    </row>
    <row r="101" spans="1:13" ht="24.75" customHeight="1" x14ac:dyDescent="0.35">
      <c r="A101" s="3" t="s">
        <v>302</v>
      </c>
      <c r="B101" s="18" t="s">
        <v>411</v>
      </c>
      <c r="C101" s="2" t="s">
        <v>421</v>
      </c>
      <c r="D101" s="29" t="s">
        <v>422</v>
      </c>
      <c r="E101" s="30" t="s">
        <v>31</v>
      </c>
      <c r="F101" s="3" t="s">
        <v>32</v>
      </c>
      <c r="G101" s="33" t="s">
        <v>33</v>
      </c>
      <c r="H101" s="2" t="s">
        <v>414</v>
      </c>
      <c r="I101" s="35" t="s">
        <v>19</v>
      </c>
      <c r="J101" s="10" t="s">
        <v>20</v>
      </c>
      <c r="K101" s="2" t="s">
        <v>21</v>
      </c>
      <c r="L101" s="2" t="s">
        <v>423</v>
      </c>
      <c r="M101" s="7" t="str">
        <f>IFERROR(VLOOKUP(H101,#REF!,2,FALSE),"-")</f>
        <v>-</v>
      </c>
    </row>
    <row r="102" spans="1:13" ht="24.75" customHeight="1" x14ac:dyDescent="0.35">
      <c r="A102" s="3" t="s">
        <v>302</v>
      </c>
      <c r="B102" s="18" t="s">
        <v>411</v>
      </c>
      <c r="C102" s="2" t="s">
        <v>421</v>
      </c>
      <c r="D102" s="29" t="s">
        <v>424</v>
      </c>
      <c r="E102" s="30" t="s">
        <v>31</v>
      </c>
      <c r="F102" s="3" t="s">
        <v>32</v>
      </c>
      <c r="G102" s="33" t="s">
        <v>33</v>
      </c>
      <c r="H102" s="2" t="s">
        <v>414</v>
      </c>
      <c r="I102" s="35" t="s">
        <v>19</v>
      </c>
      <c r="J102" s="10" t="s">
        <v>20</v>
      </c>
      <c r="K102" s="2" t="s">
        <v>21</v>
      </c>
      <c r="L102" s="2" t="s">
        <v>423</v>
      </c>
      <c r="M102" s="7" t="str">
        <f>IFERROR(VLOOKUP(H102,#REF!,2,FALSE),"-")</f>
        <v>-</v>
      </c>
    </row>
    <row r="103" spans="1:13" ht="24.75" customHeight="1" x14ac:dyDescent="0.35">
      <c r="A103" s="3" t="s">
        <v>302</v>
      </c>
      <c r="B103" s="18" t="s">
        <v>425</v>
      </c>
      <c r="C103" s="2" t="s">
        <v>87</v>
      </c>
      <c r="D103" s="29" t="s">
        <v>426</v>
      </c>
      <c r="E103" s="30" t="s">
        <v>31</v>
      </c>
      <c r="F103" s="3" t="s">
        <v>32</v>
      </c>
      <c r="G103" s="33" t="s">
        <v>33</v>
      </c>
      <c r="H103" s="2" t="s">
        <v>427</v>
      </c>
      <c r="I103" s="35" t="s">
        <v>19</v>
      </c>
      <c r="J103" s="10" t="s">
        <v>20</v>
      </c>
      <c r="K103" s="2" t="s">
        <v>58</v>
      </c>
      <c r="L103" s="2" t="s">
        <v>428</v>
      </c>
      <c r="M103" s="7" t="str">
        <f>IFERROR(VLOOKUP(H103,#REF!,2,FALSE),"-")</f>
        <v>-</v>
      </c>
    </row>
    <row r="104" spans="1:13" ht="24.75" customHeight="1" x14ac:dyDescent="0.35">
      <c r="A104" s="3" t="s">
        <v>302</v>
      </c>
      <c r="B104" s="18" t="s">
        <v>425</v>
      </c>
      <c r="C104" s="2" t="s">
        <v>142</v>
      </c>
      <c r="D104" s="29" t="s">
        <v>429</v>
      </c>
      <c r="E104" s="30" t="s">
        <v>31</v>
      </c>
      <c r="F104" s="3" t="s">
        <v>32</v>
      </c>
      <c r="G104" s="33" t="s">
        <v>33</v>
      </c>
      <c r="H104" s="2" t="s">
        <v>427</v>
      </c>
      <c r="I104" s="35" t="s">
        <v>19</v>
      </c>
      <c r="J104" s="10" t="s">
        <v>20</v>
      </c>
      <c r="K104" s="2" t="s">
        <v>65</v>
      </c>
      <c r="L104" s="2" t="s">
        <v>430</v>
      </c>
      <c r="M104" s="7" t="str">
        <f>IFERROR(VLOOKUP(H104,#REF!,2,FALSE),"-")</f>
        <v>-</v>
      </c>
    </row>
    <row r="105" spans="1:13" ht="24.75" customHeight="1" x14ac:dyDescent="0.35">
      <c r="A105" s="3" t="s">
        <v>302</v>
      </c>
      <c r="B105" s="18" t="s">
        <v>425</v>
      </c>
      <c r="C105" s="2" t="s">
        <v>431</v>
      </c>
      <c r="D105" s="29" t="s">
        <v>432</v>
      </c>
      <c r="E105" s="30" t="s">
        <v>31</v>
      </c>
      <c r="F105" s="3" t="s">
        <v>32</v>
      </c>
      <c r="G105" s="33" t="s">
        <v>33</v>
      </c>
      <c r="H105" s="2" t="s">
        <v>427</v>
      </c>
      <c r="I105" s="35" t="s">
        <v>19</v>
      </c>
      <c r="J105" s="10" t="s">
        <v>20</v>
      </c>
      <c r="K105" s="2" t="s">
        <v>319</v>
      </c>
      <c r="L105" s="2" t="s">
        <v>433</v>
      </c>
      <c r="M105" s="7" t="str">
        <f>IFERROR(VLOOKUP(H105,#REF!,2,FALSE),"-")</f>
        <v>-</v>
      </c>
    </row>
    <row r="106" spans="1:13" ht="24.75" customHeight="1" x14ac:dyDescent="0.35">
      <c r="A106" s="3" t="s">
        <v>302</v>
      </c>
      <c r="B106" s="18" t="s">
        <v>434</v>
      </c>
      <c r="C106" s="2" t="s">
        <v>41</v>
      </c>
      <c r="D106" s="29" t="s">
        <v>435</v>
      </c>
      <c r="E106" s="30" t="s">
        <v>31</v>
      </c>
      <c r="F106" s="3" t="s">
        <v>32</v>
      </c>
      <c r="G106" s="33" t="s">
        <v>33</v>
      </c>
      <c r="H106" s="2" t="s">
        <v>436</v>
      </c>
      <c r="I106" s="35" t="s">
        <v>19</v>
      </c>
      <c r="J106" s="10" t="s">
        <v>20</v>
      </c>
      <c r="K106" s="2" t="s">
        <v>21</v>
      </c>
      <c r="L106" s="2" t="s">
        <v>437</v>
      </c>
      <c r="M106" s="7" t="str">
        <f>IFERROR(VLOOKUP(H106,#REF!,2,FALSE),"-")</f>
        <v>-</v>
      </c>
    </row>
    <row r="107" spans="1:13" ht="24.75" customHeight="1" x14ac:dyDescent="0.35">
      <c r="A107" s="3" t="s">
        <v>302</v>
      </c>
      <c r="B107" s="18" t="s">
        <v>434</v>
      </c>
      <c r="C107" s="2" t="s">
        <v>41</v>
      </c>
      <c r="D107" s="29" t="s">
        <v>438</v>
      </c>
      <c r="E107" s="30" t="s">
        <v>31</v>
      </c>
      <c r="F107" s="3" t="s">
        <v>32</v>
      </c>
      <c r="G107" s="33" t="s">
        <v>33</v>
      </c>
      <c r="H107" s="2" t="s">
        <v>436</v>
      </c>
      <c r="I107" s="35" t="s">
        <v>19</v>
      </c>
      <c r="J107" s="10" t="s">
        <v>20</v>
      </c>
      <c r="K107" s="2" t="s">
        <v>21</v>
      </c>
      <c r="L107" s="2" t="s">
        <v>437</v>
      </c>
      <c r="M107" s="7" t="str">
        <f>IFERROR(VLOOKUP(H107,#REF!,2,FALSE),"-")</f>
        <v>-</v>
      </c>
    </row>
    <row r="108" spans="1:13" ht="24.75" customHeight="1" x14ac:dyDescent="0.35">
      <c r="A108" s="3" t="s">
        <v>302</v>
      </c>
      <c r="B108" s="18" t="s">
        <v>434</v>
      </c>
      <c r="C108" s="2" t="s">
        <v>439</v>
      </c>
      <c r="D108" s="29" t="s">
        <v>440</v>
      </c>
      <c r="E108" s="30" t="s">
        <v>195</v>
      </c>
      <c r="F108" s="3" t="s">
        <v>38</v>
      </c>
      <c r="G108" s="33" t="s">
        <v>196</v>
      </c>
      <c r="H108" s="2" t="s">
        <v>436</v>
      </c>
      <c r="I108" s="35" t="s">
        <v>19</v>
      </c>
      <c r="J108" s="10" t="s">
        <v>20</v>
      </c>
      <c r="K108" s="2" t="s">
        <v>319</v>
      </c>
      <c r="L108" s="2" t="s">
        <v>441</v>
      </c>
      <c r="M108" s="7" t="str">
        <f>IFERROR(VLOOKUP(H108,#REF!,2,FALSE),"-")</f>
        <v>-</v>
      </c>
    </row>
    <row r="109" spans="1:13" ht="24.75" customHeight="1" x14ac:dyDescent="0.35">
      <c r="A109" s="3" t="s">
        <v>302</v>
      </c>
      <c r="B109" s="18" t="s">
        <v>434</v>
      </c>
      <c r="C109" s="2" t="s">
        <v>439</v>
      </c>
      <c r="D109" s="29" t="s">
        <v>442</v>
      </c>
      <c r="E109" s="30" t="s">
        <v>31</v>
      </c>
      <c r="F109" s="3" t="s">
        <v>32</v>
      </c>
      <c r="G109" s="33" t="s">
        <v>33</v>
      </c>
      <c r="H109" s="2" t="s">
        <v>436</v>
      </c>
      <c r="I109" s="35" t="s">
        <v>19</v>
      </c>
      <c r="J109" s="10" t="s">
        <v>20</v>
      </c>
      <c r="K109" s="2" t="s">
        <v>319</v>
      </c>
      <c r="L109" s="2" t="s">
        <v>441</v>
      </c>
      <c r="M109" s="7" t="str">
        <f>IFERROR(VLOOKUP(H109,#REF!,2,FALSE),"-")</f>
        <v>-</v>
      </c>
    </row>
    <row r="110" spans="1:13" ht="24.75" customHeight="1" x14ac:dyDescent="0.35">
      <c r="A110" s="3" t="s">
        <v>302</v>
      </c>
      <c r="B110" s="18" t="s">
        <v>434</v>
      </c>
      <c r="C110" s="2" t="s">
        <v>142</v>
      </c>
      <c r="D110" s="29" t="s">
        <v>443</v>
      </c>
      <c r="E110" s="30" t="s">
        <v>31</v>
      </c>
      <c r="F110" s="3" t="s">
        <v>32</v>
      </c>
      <c r="G110" s="33" t="s">
        <v>33</v>
      </c>
      <c r="H110" s="2" t="s">
        <v>436</v>
      </c>
      <c r="I110" s="35" t="s">
        <v>19</v>
      </c>
      <c r="J110" s="10" t="s">
        <v>20</v>
      </c>
      <c r="K110" s="2" t="s">
        <v>65</v>
      </c>
      <c r="L110" s="2" t="s">
        <v>444</v>
      </c>
      <c r="M110" s="7" t="str">
        <f>IFERROR(VLOOKUP(H110,#REF!,2,FALSE),"-")</f>
        <v>-</v>
      </c>
    </row>
    <row r="111" spans="1:13" ht="24.75" customHeight="1" x14ac:dyDescent="0.35">
      <c r="A111" s="3" t="s">
        <v>302</v>
      </c>
      <c r="B111" s="18" t="s">
        <v>434</v>
      </c>
      <c r="C111" s="2" t="s">
        <v>445</v>
      </c>
      <c r="D111" s="29" t="s">
        <v>446</v>
      </c>
      <c r="E111" s="30" t="s">
        <v>31</v>
      </c>
      <c r="F111" s="3" t="s">
        <v>32</v>
      </c>
      <c r="G111" s="33" t="s">
        <v>33</v>
      </c>
      <c r="H111" s="2" t="s">
        <v>436</v>
      </c>
      <c r="I111" s="35" t="s">
        <v>19</v>
      </c>
      <c r="J111" s="10" t="s">
        <v>20</v>
      </c>
      <c r="K111" s="2" t="s">
        <v>65</v>
      </c>
      <c r="L111" s="2" t="s">
        <v>447</v>
      </c>
      <c r="M111" s="7" t="str">
        <f>IFERROR(VLOOKUP(H111,#REF!,2,FALSE),"-")</f>
        <v>-</v>
      </c>
    </row>
    <row r="112" spans="1:13" ht="24.75" customHeight="1" x14ac:dyDescent="0.35">
      <c r="A112" s="3" t="s">
        <v>11</v>
      </c>
      <c r="B112" s="18" t="s">
        <v>82</v>
      </c>
      <c r="C112" s="2" t="s">
        <v>77</v>
      </c>
      <c r="D112" s="29" t="s">
        <v>83</v>
      </c>
      <c r="E112" s="30" t="s">
        <v>54</v>
      </c>
      <c r="F112" s="3" t="s">
        <v>16</v>
      </c>
      <c r="G112" s="33" t="s">
        <v>17</v>
      </c>
      <c r="H112" s="2" t="s">
        <v>84</v>
      </c>
      <c r="I112" s="35" t="s">
        <v>19</v>
      </c>
      <c r="J112" s="10" t="s">
        <v>20</v>
      </c>
      <c r="K112" s="2" t="s">
        <v>85</v>
      </c>
      <c r="L112" s="5"/>
      <c r="M112" s="7" t="str">
        <f>IFERROR(VLOOKUP(H112,#REF!,2,FALSE),"-")</f>
        <v>-</v>
      </c>
    </row>
    <row r="113" spans="1:13" ht="24.75" customHeight="1" x14ac:dyDescent="0.35">
      <c r="A113" s="3" t="s">
        <v>11</v>
      </c>
      <c r="B113" s="18" t="s">
        <v>82</v>
      </c>
      <c r="C113" s="2" t="s">
        <v>87</v>
      </c>
      <c r="D113" s="29" t="s">
        <v>88</v>
      </c>
      <c r="E113" s="30" t="s">
        <v>31</v>
      </c>
      <c r="F113" s="3" t="s">
        <v>32</v>
      </c>
      <c r="G113" s="33" t="s">
        <v>33</v>
      </c>
      <c r="H113" s="2" t="s">
        <v>84</v>
      </c>
      <c r="I113" s="35" t="s">
        <v>19</v>
      </c>
      <c r="J113" s="10" t="s">
        <v>20</v>
      </c>
      <c r="K113" s="2" t="s">
        <v>65</v>
      </c>
      <c r="L113" s="5"/>
      <c r="M113" s="7" t="str">
        <f>IFERROR(VLOOKUP(H113,#REF!,2,FALSE),"-")</f>
        <v>-</v>
      </c>
    </row>
    <row r="114" spans="1:13" ht="24.75" customHeight="1" x14ac:dyDescent="0.35">
      <c r="A114" s="3" t="s">
        <v>11</v>
      </c>
      <c r="B114" s="18" t="s">
        <v>82</v>
      </c>
      <c r="C114" s="2" t="s">
        <v>87</v>
      </c>
      <c r="D114" s="29" t="s">
        <v>89</v>
      </c>
      <c r="E114" s="30" t="s">
        <v>31</v>
      </c>
      <c r="F114" s="3" t="s">
        <v>32</v>
      </c>
      <c r="G114" s="33" t="s">
        <v>33</v>
      </c>
      <c r="H114" s="2" t="s">
        <v>84</v>
      </c>
      <c r="I114" s="35" t="s">
        <v>19</v>
      </c>
      <c r="J114" s="10"/>
      <c r="K114" s="2"/>
      <c r="L114" s="5"/>
      <c r="M114" s="7" t="str">
        <f>IFERROR(VLOOKUP(H114,#REF!,2,FALSE),"-")</f>
        <v>-</v>
      </c>
    </row>
    <row r="115" spans="1:13" ht="24.75" customHeight="1" x14ac:dyDescent="0.35">
      <c r="A115" s="3" t="s">
        <v>11</v>
      </c>
      <c r="B115" s="18" t="s">
        <v>82</v>
      </c>
      <c r="C115" s="2" t="s">
        <v>77</v>
      </c>
      <c r="D115" s="29" t="s">
        <v>95</v>
      </c>
      <c r="E115" s="30" t="s">
        <v>44</v>
      </c>
      <c r="F115" s="3" t="s">
        <v>32</v>
      </c>
      <c r="G115" s="33" t="s">
        <v>33</v>
      </c>
      <c r="H115" s="2" t="s">
        <v>84</v>
      </c>
      <c r="I115" s="35" t="s">
        <v>19</v>
      </c>
      <c r="J115" s="10"/>
      <c r="K115" s="2"/>
      <c r="L115" s="5"/>
      <c r="M115" s="7" t="str">
        <f>IFERROR(VLOOKUP(H115,#REF!,2,FALSE),"-")</f>
        <v>-</v>
      </c>
    </row>
    <row r="116" spans="1:13" ht="24.75" customHeight="1" x14ac:dyDescent="0.35">
      <c r="A116" s="3" t="s">
        <v>11</v>
      </c>
      <c r="B116" s="18" t="s">
        <v>82</v>
      </c>
      <c r="C116" s="2" t="s">
        <v>77</v>
      </c>
      <c r="D116" s="29" t="s">
        <v>96</v>
      </c>
      <c r="E116" s="30" t="s">
        <v>44</v>
      </c>
      <c r="F116" s="3" t="s">
        <v>32</v>
      </c>
      <c r="G116" s="33" t="s">
        <v>33</v>
      </c>
      <c r="H116" s="2" t="s">
        <v>84</v>
      </c>
      <c r="I116" s="35" t="s">
        <v>19</v>
      </c>
      <c r="J116" s="10"/>
      <c r="K116" s="2"/>
      <c r="L116" s="5"/>
      <c r="M116" s="7" t="str">
        <f>IFERROR(VLOOKUP(H116,#REF!,2,FALSE),"-")</f>
        <v>-</v>
      </c>
    </row>
    <row r="117" spans="1:13" ht="24.75" customHeight="1" x14ac:dyDescent="0.35">
      <c r="A117" s="3" t="s">
        <v>11</v>
      </c>
      <c r="B117" s="18" t="s">
        <v>82</v>
      </c>
      <c r="C117" s="2" t="s">
        <v>97</v>
      </c>
      <c r="D117" s="29" t="s">
        <v>98</v>
      </c>
      <c r="E117" s="30" t="s">
        <v>44</v>
      </c>
      <c r="F117" s="3" t="s">
        <v>32</v>
      </c>
      <c r="G117" s="33" t="s">
        <v>33</v>
      </c>
      <c r="H117" s="2" t="s">
        <v>84</v>
      </c>
      <c r="I117" s="35" t="s">
        <v>19</v>
      </c>
      <c r="J117" s="10" t="s">
        <v>20</v>
      </c>
      <c r="K117" s="2" t="s">
        <v>94</v>
      </c>
      <c r="L117" s="5"/>
      <c r="M117" s="7" t="str">
        <f>IFERROR(VLOOKUP(H117,#REF!,2,FALSE),"-")</f>
        <v>-</v>
      </c>
    </row>
    <row r="118" spans="1:13" ht="24.75" customHeight="1" x14ac:dyDescent="0.35">
      <c r="A118" s="3" t="s">
        <v>11</v>
      </c>
      <c r="B118" s="18" t="s">
        <v>157</v>
      </c>
      <c r="C118" s="2" t="s">
        <v>77</v>
      </c>
      <c r="D118" s="29" t="s">
        <v>110</v>
      </c>
      <c r="E118" s="30" t="s">
        <v>37</v>
      </c>
      <c r="F118" s="3" t="s">
        <v>38</v>
      </c>
      <c r="G118" s="33" t="s">
        <v>39</v>
      </c>
      <c r="H118" s="2" t="s">
        <v>158</v>
      </c>
      <c r="I118" s="35" t="s">
        <v>159</v>
      </c>
      <c r="J118" s="10" t="s">
        <v>20</v>
      </c>
      <c r="K118" s="2" t="s">
        <v>113</v>
      </c>
      <c r="L118" s="5"/>
      <c r="M118" s="7" t="str">
        <f>IFERROR(VLOOKUP(H118,#REF!,2,FALSE),"-")</f>
        <v>-</v>
      </c>
    </row>
    <row r="119" spans="1:13" ht="24.75" customHeight="1" x14ac:dyDescent="0.35">
      <c r="A119" s="3" t="s">
        <v>11</v>
      </c>
      <c r="B119" s="18" t="s">
        <v>157</v>
      </c>
      <c r="C119" s="2" t="s">
        <v>160</v>
      </c>
      <c r="D119" s="29" t="s">
        <v>161</v>
      </c>
      <c r="E119" s="30" t="s">
        <v>54</v>
      </c>
      <c r="F119" s="3" t="s">
        <v>16</v>
      </c>
      <c r="G119" s="33" t="s">
        <v>17</v>
      </c>
      <c r="H119" s="2" t="s">
        <v>158</v>
      </c>
      <c r="I119" s="35" t="s">
        <v>159</v>
      </c>
      <c r="J119" s="10" t="s">
        <v>20</v>
      </c>
      <c r="K119" s="2" t="s">
        <v>27</v>
      </c>
      <c r="L119" s="5"/>
      <c r="M119" s="7" t="str">
        <f>IFERROR(VLOOKUP(H119,#REF!,2,FALSE),"-")</f>
        <v>-</v>
      </c>
    </row>
    <row r="120" spans="1:13" ht="24.75" customHeight="1" x14ac:dyDescent="0.35">
      <c r="A120" s="3" t="s">
        <v>11</v>
      </c>
      <c r="B120" s="18" t="s">
        <v>157</v>
      </c>
      <c r="C120" s="2" t="s">
        <v>87</v>
      </c>
      <c r="D120" s="29" t="s">
        <v>162</v>
      </c>
      <c r="E120" s="30" t="s">
        <v>44</v>
      </c>
      <c r="F120" s="3" t="s">
        <v>32</v>
      </c>
      <c r="G120" s="33" t="s">
        <v>33</v>
      </c>
      <c r="H120" s="2" t="s">
        <v>158</v>
      </c>
      <c r="I120" s="35" t="s">
        <v>159</v>
      </c>
      <c r="J120" s="10" t="s">
        <v>20</v>
      </c>
      <c r="K120" s="2" t="s">
        <v>27</v>
      </c>
      <c r="L120" s="5"/>
      <c r="M120" s="7" t="str">
        <f>IFERROR(VLOOKUP(H120,#REF!,2,FALSE),"-")</f>
        <v>-</v>
      </c>
    </row>
    <row r="121" spans="1:13" ht="24.75" customHeight="1" x14ac:dyDescent="0.35">
      <c r="A121" s="3" t="s">
        <v>11</v>
      </c>
      <c r="B121" s="18" t="s">
        <v>133</v>
      </c>
      <c r="C121" s="2" t="s">
        <v>91</v>
      </c>
      <c r="D121" s="29" t="s">
        <v>101</v>
      </c>
      <c r="E121" s="30" t="s">
        <v>37</v>
      </c>
      <c r="F121" s="3" t="s">
        <v>38</v>
      </c>
      <c r="G121" s="33" t="s">
        <v>39</v>
      </c>
      <c r="H121" s="2" t="s">
        <v>134</v>
      </c>
      <c r="I121" s="35" t="s">
        <v>19</v>
      </c>
      <c r="J121" s="10" t="s">
        <v>20</v>
      </c>
      <c r="K121" s="2" t="s">
        <v>65</v>
      </c>
      <c r="L121" s="5"/>
      <c r="M121" s="7" t="str">
        <f>IFERROR(VLOOKUP(H121,#REF!,2,FALSE),"-")</f>
        <v>-</v>
      </c>
    </row>
    <row r="122" spans="1:13" ht="24.75" customHeight="1" x14ac:dyDescent="0.35">
      <c r="A122" s="3" t="s">
        <v>11</v>
      </c>
      <c r="B122" s="18" t="s">
        <v>133</v>
      </c>
      <c r="C122" s="2" t="s">
        <v>59</v>
      </c>
      <c r="D122" s="29" t="s">
        <v>135</v>
      </c>
      <c r="E122" s="30" t="s">
        <v>31</v>
      </c>
      <c r="F122" s="3" t="s">
        <v>32</v>
      </c>
      <c r="G122" s="33" t="s">
        <v>33</v>
      </c>
      <c r="H122" s="2" t="s">
        <v>134</v>
      </c>
      <c r="I122" s="35" t="s">
        <v>19</v>
      </c>
      <c r="J122" s="10" t="s">
        <v>20</v>
      </c>
      <c r="K122" s="2" t="s">
        <v>136</v>
      </c>
      <c r="L122" s="5"/>
      <c r="M122" s="7" t="str">
        <f>IFERROR(VLOOKUP(H122,#REF!,2,FALSE),"-")</f>
        <v>-</v>
      </c>
    </row>
    <row r="123" spans="1:13" ht="24.75" customHeight="1" x14ac:dyDescent="0.35">
      <c r="A123" s="3" t="s">
        <v>11</v>
      </c>
      <c r="B123" s="18" t="s">
        <v>133</v>
      </c>
      <c r="C123" s="2" t="s">
        <v>87</v>
      </c>
      <c r="D123" s="29" t="s">
        <v>137</v>
      </c>
      <c r="E123" s="30" t="s">
        <v>44</v>
      </c>
      <c r="F123" s="3" t="s">
        <v>32</v>
      </c>
      <c r="G123" s="33" t="s">
        <v>33</v>
      </c>
      <c r="H123" s="2" t="s">
        <v>134</v>
      </c>
      <c r="I123" s="35" t="s">
        <v>19</v>
      </c>
      <c r="J123" s="10" t="s">
        <v>20</v>
      </c>
      <c r="K123" s="2" t="s">
        <v>27</v>
      </c>
      <c r="L123" s="5"/>
      <c r="M123" s="7" t="str">
        <f>IFERROR(VLOOKUP(H123,#REF!,2,FALSE),"-")</f>
        <v>-</v>
      </c>
    </row>
    <row r="124" spans="1:13" ht="24.75" customHeight="1" x14ac:dyDescent="0.35">
      <c r="A124" s="3" t="s">
        <v>11</v>
      </c>
      <c r="B124" s="18" t="s">
        <v>163</v>
      </c>
      <c r="C124" s="2" t="s">
        <v>164</v>
      </c>
      <c r="D124" s="29" t="s">
        <v>165</v>
      </c>
      <c r="E124" s="30" t="s">
        <v>31</v>
      </c>
      <c r="F124" s="3" t="s">
        <v>32</v>
      </c>
      <c r="G124" s="33" t="s">
        <v>33</v>
      </c>
      <c r="H124" s="2" t="s">
        <v>166</v>
      </c>
      <c r="I124" s="35" t="s">
        <v>19</v>
      </c>
      <c r="J124" s="10" t="s">
        <v>20</v>
      </c>
      <c r="K124" s="2" t="s">
        <v>113</v>
      </c>
      <c r="L124" s="5"/>
      <c r="M124" s="7" t="str">
        <f>IFERROR(VLOOKUP(H124,#REF!,2,FALSE),"-")</f>
        <v>-</v>
      </c>
    </row>
    <row r="125" spans="1:13" ht="24.75" customHeight="1" x14ac:dyDescent="0.35">
      <c r="A125" s="3" t="s">
        <v>11</v>
      </c>
      <c r="B125" s="18" t="s">
        <v>163</v>
      </c>
      <c r="C125" s="2" t="s">
        <v>164</v>
      </c>
      <c r="D125" s="29" t="s">
        <v>167</v>
      </c>
      <c r="E125" s="30" t="s">
        <v>31</v>
      </c>
      <c r="F125" s="3" t="s">
        <v>32</v>
      </c>
      <c r="G125" s="33" t="s">
        <v>33</v>
      </c>
      <c r="H125" s="2" t="s">
        <v>166</v>
      </c>
      <c r="I125" s="35" t="s">
        <v>19</v>
      </c>
      <c r="J125" s="10"/>
      <c r="K125" s="2"/>
      <c r="L125" s="5"/>
      <c r="M125" s="7" t="str">
        <f>IFERROR(VLOOKUP(H125,#REF!,2,FALSE),"-")</f>
        <v>-</v>
      </c>
    </row>
    <row r="126" spans="1:13" ht="24.75" customHeight="1" x14ac:dyDescent="0.35">
      <c r="A126" s="3" t="s">
        <v>11</v>
      </c>
      <c r="B126" s="18" t="s">
        <v>163</v>
      </c>
      <c r="C126" s="2" t="s">
        <v>142</v>
      </c>
      <c r="D126" s="29" t="s">
        <v>168</v>
      </c>
      <c r="E126" s="30" t="s">
        <v>31</v>
      </c>
      <c r="F126" s="3" t="s">
        <v>32</v>
      </c>
      <c r="G126" s="33" t="s">
        <v>33</v>
      </c>
      <c r="H126" s="2" t="s">
        <v>166</v>
      </c>
      <c r="I126" s="35" t="s">
        <v>19</v>
      </c>
      <c r="J126" s="10" t="s">
        <v>20</v>
      </c>
      <c r="K126" s="2" t="s">
        <v>113</v>
      </c>
      <c r="L126" s="5"/>
      <c r="M126" s="7" t="str">
        <f>IFERROR(VLOOKUP(H126,#REF!,2,FALSE),"-")</f>
        <v>-</v>
      </c>
    </row>
    <row r="127" spans="1:13" ht="24.75" customHeight="1" x14ac:dyDescent="0.35">
      <c r="A127" s="3" t="s">
        <v>11</v>
      </c>
      <c r="B127" s="18" t="s">
        <v>163</v>
      </c>
      <c r="C127" s="2" t="s">
        <v>142</v>
      </c>
      <c r="D127" s="29" t="s">
        <v>169</v>
      </c>
      <c r="E127" s="30" t="s">
        <v>31</v>
      </c>
      <c r="F127" s="3" t="s">
        <v>32</v>
      </c>
      <c r="G127" s="33" t="s">
        <v>33</v>
      </c>
      <c r="H127" s="2" t="s">
        <v>166</v>
      </c>
      <c r="I127" s="35" t="s">
        <v>19</v>
      </c>
      <c r="J127" s="10"/>
      <c r="K127" s="2"/>
      <c r="L127" s="5"/>
      <c r="M127" s="7" t="str">
        <f>IFERROR(VLOOKUP(H127,#REF!,2,FALSE),"-")</f>
        <v>-</v>
      </c>
    </row>
    <row r="128" spans="1:13" ht="24.75" customHeight="1" x14ac:dyDescent="0.35">
      <c r="A128" s="3" t="s">
        <v>11</v>
      </c>
      <c r="B128" s="18" t="s">
        <v>163</v>
      </c>
      <c r="C128" s="2" t="s">
        <v>35</v>
      </c>
      <c r="D128" s="29" t="s">
        <v>170</v>
      </c>
      <c r="E128" s="30" t="s">
        <v>171</v>
      </c>
      <c r="F128" s="3" t="s">
        <v>32</v>
      </c>
      <c r="G128" s="33" t="s">
        <v>33</v>
      </c>
      <c r="H128" s="2" t="s">
        <v>166</v>
      </c>
      <c r="I128" s="35" t="s">
        <v>19</v>
      </c>
      <c r="J128" s="10" t="s">
        <v>20</v>
      </c>
      <c r="K128" s="2" t="s">
        <v>27</v>
      </c>
      <c r="L128" s="5"/>
      <c r="M128" s="7" t="str">
        <f>IFERROR(VLOOKUP(H128,#REF!,2,FALSE),"-")</f>
        <v>-</v>
      </c>
    </row>
    <row r="129" spans="1:14" ht="24.75" customHeight="1" x14ac:dyDescent="0.35">
      <c r="A129" s="3" t="s">
        <v>11</v>
      </c>
      <c r="B129" s="18" t="s">
        <v>163</v>
      </c>
      <c r="C129" s="2" t="s">
        <v>35</v>
      </c>
      <c r="D129" s="29" t="s">
        <v>172</v>
      </c>
      <c r="E129" s="30" t="s">
        <v>171</v>
      </c>
      <c r="F129" s="3" t="s">
        <v>32</v>
      </c>
      <c r="G129" s="33" t="s">
        <v>33</v>
      </c>
      <c r="H129" s="2" t="s">
        <v>166</v>
      </c>
      <c r="I129" s="35" t="s">
        <v>19</v>
      </c>
      <c r="J129" s="10"/>
      <c r="K129" s="2"/>
      <c r="L129" s="5"/>
      <c r="M129" s="7" t="str">
        <f>IFERROR(VLOOKUP(H129,#REF!,2,FALSE),"-")</f>
        <v>-</v>
      </c>
    </row>
    <row r="130" spans="1:14" ht="24.75" customHeight="1" x14ac:dyDescent="0.35">
      <c r="A130" s="3" t="s">
        <v>11</v>
      </c>
      <c r="B130" s="18" t="s">
        <v>100</v>
      </c>
      <c r="C130" s="2" t="s">
        <v>91</v>
      </c>
      <c r="D130" s="29" t="s">
        <v>101</v>
      </c>
      <c r="E130" s="30" t="s">
        <v>37</v>
      </c>
      <c r="F130" s="3" t="s">
        <v>38</v>
      </c>
      <c r="G130" s="33" t="s">
        <v>39</v>
      </c>
      <c r="H130" s="2" t="s">
        <v>102</v>
      </c>
      <c r="I130" s="35" t="s">
        <v>19</v>
      </c>
      <c r="J130" s="10" t="s">
        <v>20</v>
      </c>
      <c r="K130" s="2" t="s">
        <v>21</v>
      </c>
      <c r="L130" s="5"/>
      <c r="M130" s="7" t="str">
        <f>IFERROR(VLOOKUP(H130,#REF!,2,FALSE),"-")</f>
        <v>-</v>
      </c>
    </row>
    <row r="131" spans="1:14" ht="24.75" customHeight="1" x14ac:dyDescent="0.35">
      <c r="A131" s="3" t="s">
        <v>11</v>
      </c>
      <c r="B131" s="18" t="s">
        <v>100</v>
      </c>
      <c r="C131" s="2" t="s">
        <v>104</v>
      </c>
      <c r="D131" s="29" t="s">
        <v>105</v>
      </c>
      <c r="E131" s="30" t="s">
        <v>54</v>
      </c>
      <c r="F131" s="3" t="s">
        <v>16</v>
      </c>
      <c r="G131" s="33" t="s">
        <v>17</v>
      </c>
      <c r="H131" s="2" t="s">
        <v>102</v>
      </c>
      <c r="I131" s="35" t="s">
        <v>19</v>
      </c>
      <c r="J131" s="10" t="s">
        <v>20</v>
      </c>
      <c r="K131" s="2" t="s">
        <v>27</v>
      </c>
      <c r="L131" s="5"/>
      <c r="M131" s="7" t="str">
        <f>IFERROR(VLOOKUP(H131,#REF!,2,FALSE),"-")</f>
        <v>-</v>
      </c>
    </row>
    <row r="132" spans="1:14" ht="24.75" customHeight="1" x14ac:dyDescent="0.35">
      <c r="A132" s="3" t="s">
        <v>11</v>
      </c>
      <c r="B132" s="18" t="s">
        <v>100</v>
      </c>
      <c r="C132" s="2" t="s">
        <v>91</v>
      </c>
      <c r="D132" s="29" t="s">
        <v>114</v>
      </c>
      <c r="E132" s="30" t="s">
        <v>44</v>
      </c>
      <c r="F132" s="3" t="s">
        <v>32</v>
      </c>
      <c r="G132" s="33" t="s">
        <v>33</v>
      </c>
      <c r="H132" s="2" t="s">
        <v>102</v>
      </c>
      <c r="I132" s="35" t="s">
        <v>19</v>
      </c>
      <c r="J132" s="10"/>
      <c r="K132" s="2"/>
      <c r="L132" s="5"/>
      <c r="M132" s="7" t="str">
        <f>IFERROR(VLOOKUP(H132,#REF!,2,FALSE),"-")</f>
        <v>-</v>
      </c>
    </row>
    <row r="133" spans="1:14" ht="24.75" customHeight="1" x14ac:dyDescent="0.35">
      <c r="A133" s="3" t="s">
        <v>11</v>
      </c>
      <c r="B133" s="18" t="s">
        <v>100</v>
      </c>
      <c r="C133" s="2" t="s">
        <v>115</v>
      </c>
      <c r="D133" s="29" t="s">
        <v>116</v>
      </c>
      <c r="E133" s="30" t="s">
        <v>31</v>
      </c>
      <c r="F133" s="3" t="s">
        <v>32</v>
      </c>
      <c r="G133" s="33" t="s">
        <v>33</v>
      </c>
      <c r="H133" s="2" t="s">
        <v>102</v>
      </c>
      <c r="I133" s="35" t="s">
        <v>19</v>
      </c>
      <c r="J133" s="10" t="s">
        <v>20</v>
      </c>
      <c r="K133" s="2" t="s">
        <v>65</v>
      </c>
      <c r="L133" s="5"/>
      <c r="M133" s="7" t="str">
        <f>IFERROR(VLOOKUP(H133,#REF!,2,FALSE),"-")</f>
        <v>-</v>
      </c>
    </row>
    <row r="134" spans="1:14" ht="24.75" customHeight="1" x14ac:dyDescent="0.35">
      <c r="A134" s="3" t="s">
        <v>11</v>
      </c>
      <c r="B134" s="18" t="s">
        <v>100</v>
      </c>
      <c r="C134" s="2" t="s">
        <v>115</v>
      </c>
      <c r="D134" s="29" t="s">
        <v>117</v>
      </c>
      <c r="E134" s="30" t="s">
        <v>44</v>
      </c>
      <c r="F134" s="3" t="s">
        <v>32</v>
      </c>
      <c r="G134" s="33" t="s">
        <v>33</v>
      </c>
      <c r="H134" s="2" t="s">
        <v>102</v>
      </c>
      <c r="I134" s="35" t="s">
        <v>19</v>
      </c>
      <c r="J134" s="10"/>
      <c r="K134" s="2"/>
      <c r="L134" s="5"/>
      <c r="M134" s="7" t="str">
        <f>IFERROR(VLOOKUP(H134,#REF!,2,FALSE),"-")</f>
        <v>-</v>
      </c>
    </row>
    <row r="135" spans="1:14" ht="24.75" customHeight="1" x14ac:dyDescent="0.35">
      <c r="A135" s="3" t="s">
        <v>302</v>
      </c>
      <c r="B135" s="18" t="s">
        <v>448</v>
      </c>
      <c r="C135" s="2" t="s">
        <v>449</v>
      </c>
      <c r="D135" s="29" t="s">
        <v>450</v>
      </c>
      <c r="E135" s="30" t="s">
        <v>31</v>
      </c>
      <c r="F135" s="3" t="s">
        <v>32</v>
      </c>
      <c r="G135" s="33" t="s">
        <v>33</v>
      </c>
      <c r="H135" s="2" t="s">
        <v>451</v>
      </c>
      <c r="I135" s="35" t="s">
        <v>307</v>
      </c>
      <c r="J135" s="10" t="s">
        <v>20</v>
      </c>
      <c r="K135" s="2" t="s">
        <v>21</v>
      </c>
      <c r="L135" s="2" t="s">
        <v>452</v>
      </c>
      <c r="M135" s="7" t="str">
        <f>IFERROR(VLOOKUP(H135,#REF!,2,FALSE),"-")</f>
        <v>-</v>
      </c>
      <c r="N135" s="7" t="str">
        <f t="shared" ref="N135:N140" si="4">LEFT(I135,1)</f>
        <v>0</v>
      </c>
    </row>
    <row r="136" spans="1:14" ht="24.75" customHeight="1" x14ac:dyDescent="0.35">
      <c r="A136" s="3" t="s">
        <v>302</v>
      </c>
      <c r="B136" s="18" t="s">
        <v>448</v>
      </c>
      <c r="C136" s="2" t="s">
        <v>180</v>
      </c>
      <c r="D136" s="29" t="s">
        <v>453</v>
      </c>
      <c r="E136" s="30" t="s">
        <v>31</v>
      </c>
      <c r="F136" s="3" t="s">
        <v>32</v>
      </c>
      <c r="G136" s="33" t="s">
        <v>33</v>
      </c>
      <c r="H136" s="2" t="s">
        <v>451</v>
      </c>
      <c r="I136" s="35" t="s">
        <v>307</v>
      </c>
      <c r="J136" s="10" t="s">
        <v>20</v>
      </c>
      <c r="K136" s="2" t="s">
        <v>21</v>
      </c>
      <c r="L136" s="2" t="s">
        <v>454</v>
      </c>
      <c r="M136" s="7" t="str">
        <f>IFERROR(VLOOKUP(H136,#REF!,2,FALSE),"-")</f>
        <v>-</v>
      </c>
      <c r="N136" s="7" t="str">
        <f t="shared" si="4"/>
        <v>0</v>
      </c>
    </row>
    <row r="137" spans="1:14" ht="24.75" customHeight="1" x14ac:dyDescent="0.35">
      <c r="A137" s="3" t="s">
        <v>302</v>
      </c>
      <c r="B137" s="18" t="s">
        <v>448</v>
      </c>
      <c r="C137" s="2" t="s">
        <v>180</v>
      </c>
      <c r="D137" s="29" t="s">
        <v>455</v>
      </c>
      <c r="E137" s="30" t="s">
        <v>31</v>
      </c>
      <c r="F137" s="3" t="s">
        <v>32</v>
      </c>
      <c r="G137" s="33" t="s">
        <v>33</v>
      </c>
      <c r="H137" s="2" t="s">
        <v>451</v>
      </c>
      <c r="I137" s="35" t="s">
        <v>307</v>
      </c>
      <c r="J137" s="10" t="s">
        <v>20</v>
      </c>
      <c r="K137" s="2" t="s">
        <v>21</v>
      </c>
      <c r="L137" s="2" t="s">
        <v>454</v>
      </c>
      <c r="M137" s="7" t="str">
        <f>IFERROR(VLOOKUP(H137,#REF!,2,FALSE),"-")</f>
        <v>-</v>
      </c>
      <c r="N137" s="7" t="str">
        <f t="shared" si="4"/>
        <v>0</v>
      </c>
    </row>
    <row r="138" spans="1:14" ht="24.75" customHeight="1" x14ac:dyDescent="0.35">
      <c r="A138" s="3" t="s">
        <v>302</v>
      </c>
      <c r="B138" s="18" t="s">
        <v>448</v>
      </c>
      <c r="C138" s="2" t="s">
        <v>456</v>
      </c>
      <c r="D138" s="29" t="s">
        <v>457</v>
      </c>
      <c r="E138" s="30" t="s">
        <v>31</v>
      </c>
      <c r="F138" s="3" t="s">
        <v>32</v>
      </c>
      <c r="G138" s="33" t="s">
        <v>33</v>
      </c>
      <c r="H138" s="2" t="s">
        <v>451</v>
      </c>
      <c r="I138" s="35" t="s">
        <v>307</v>
      </c>
      <c r="J138" s="10" t="s">
        <v>20</v>
      </c>
      <c r="K138" s="2" t="s">
        <v>65</v>
      </c>
      <c r="L138" s="2" t="s">
        <v>458</v>
      </c>
      <c r="M138" s="7" t="str">
        <f>IFERROR(VLOOKUP(H138,#REF!,2,FALSE),"-")</f>
        <v>-</v>
      </c>
      <c r="N138" s="7" t="str">
        <f t="shared" si="4"/>
        <v>0</v>
      </c>
    </row>
    <row r="139" spans="1:14" ht="24.75" customHeight="1" x14ac:dyDescent="0.35">
      <c r="A139" s="3" t="s">
        <v>302</v>
      </c>
      <c r="B139" s="18" t="s">
        <v>448</v>
      </c>
      <c r="C139" s="2" t="s">
        <v>459</v>
      </c>
      <c r="D139" s="29" t="s">
        <v>460</v>
      </c>
      <c r="E139" s="30" t="s">
        <v>31</v>
      </c>
      <c r="F139" s="3" t="s">
        <v>32</v>
      </c>
      <c r="G139" s="33" t="s">
        <v>33</v>
      </c>
      <c r="H139" s="2" t="s">
        <v>451</v>
      </c>
      <c r="I139" s="35" t="s">
        <v>307</v>
      </c>
      <c r="J139" s="10" t="s">
        <v>20</v>
      </c>
      <c r="K139" s="2" t="s">
        <v>21</v>
      </c>
      <c r="L139" s="2" t="s">
        <v>461</v>
      </c>
      <c r="M139" s="7" t="str">
        <f>IFERROR(VLOOKUP(H139,#REF!,2,FALSE),"-")</f>
        <v>-</v>
      </c>
      <c r="N139" s="7" t="str">
        <f t="shared" si="4"/>
        <v>0</v>
      </c>
    </row>
    <row r="140" spans="1:14" ht="24.75" customHeight="1" x14ac:dyDescent="0.35">
      <c r="A140" s="3" t="s">
        <v>302</v>
      </c>
      <c r="B140" s="18" t="s">
        <v>448</v>
      </c>
      <c r="C140" s="2" t="s">
        <v>91</v>
      </c>
      <c r="D140" s="29" t="s">
        <v>462</v>
      </c>
      <c r="E140" s="30" t="s">
        <v>195</v>
      </c>
      <c r="F140" s="3" t="s">
        <v>38</v>
      </c>
      <c r="G140" s="33" t="s">
        <v>196</v>
      </c>
      <c r="H140" s="2" t="s">
        <v>451</v>
      </c>
      <c r="I140" s="35" t="s">
        <v>307</v>
      </c>
      <c r="J140" s="10" t="s">
        <v>20</v>
      </c>
      <c r="K140" s="2" t="s">
        <v>21</v>
      </c>
      <c r="L140" s="2" t="s">
        <v>463</v>
      </c>
      <c r="M140" s="7" t="str">
        <f>IFERROR(VLOOKUP(H140,#REF!,2,FALSE),"-")</f>
        <v>-</v>
      </c>
      <c r="N140" s="7" t="str">
        <f t="shared" si="4"/>
        <v>0</v>
      </c>
    </row>
    <row r="141" spans="1:14" ht="24.75" customHeight="1" x14ac:dyDescent="0.35">
      <c r="A141" s="3" t="s">
        <v>302</v>
      </c>
      <c r="B141" s="18" t="s">
        <v>324</v>
      </c>
      <c r="C141" s="2" t="s">
        <v>325</v>
      </c>
      <c r="D141" s="29" t="s">
        <v>60</v>
      </c>
      <c r="E141" s="30" t="s">
        <v>31</v>
      </c>
      <c r="F141" s="3" t="s">
        <v>32</v>
      </c>
      <c r="G141" s="33" t="s">
        <v>33</v>
      </c>
      <c r="H141" s="2" t="s">
        <v>326</v>
      </c>
      <c r="I141" s="35" t="s">
        <v>19</v>
      </c>
      <c r="J141" s="10" t="s">
        <v>20</v>
      </c>
      <c r="K141" s="2" t="s">
        <v>65</v>
      </c>
      <c r="L141" s="2" t="s">
        <v>327</v>
      </c>
      <c r="M141" s="7" t="str">
        <f>IFERROR(VLOOKUP(H141,#REF!,2,FALSE),"-")</f>
        <v>-</v>
      </c>
    </row>
    <row r="142" spans="1:14" ht="24.75" customHeight="1" x14ac:dyDescent="0.35">
      <c r="A142" s="3" t="s">
        <v>302</v>
      </c>
      <c r="B142" s="18" t="s">
        <v>324</v>
      </c>
      <c r="C142" s="2" t="s">
        <v>328</v>
      </c>
      <c r="D142" s="29" t="s">
        <v>329</v>
      </c>
      <c r="E142" s="30" t="s">
        <v>31</v>
      </c>
      <c r="F142" s="3" t="s">
        <v>32</v>
      </c>
      <c r="G142" s="33" t="s">
        <v>33</v>
      </c>
      <c r="H142" s="2" t="s">
        <v>326</v>
      </c>
      <c r="I142" s="35" t="s">
        <v>19</v>
      </c>
      <c r="J142" s="10" t="s">
        <v>20</v>
      </c>
      <c r="K142" s="2" t="s">
        <v>65</v>
      </c>
      <c r="L142" s="2" t="s">
        <v>330</v>
      </c>
      <c r="M142" s="7" t="str">
        <f>IFERROR(VLOOKUP(H142,#REF!,2,FALSE),"-")</f>
        <v>-</v>
      </c>
    </row>
    <row r="143" spans="1:14" ht="24.75" customHeight="1" x14ac:dyDescent="0.35">
      <c r="A143" s="3" t="s">
        <v>302</v>
      </c>
      <c r="B143" s="18" t="s">
        <v>324</v>
      </c>
      <c r="C143" s="2" t="s">
        <v>180</v>
      </c>
      <c r="D143" s="29" t="s">
        <v>331</v>
      </c>
      <c r="E143" s="30" t="s">
        <v>148</v>
      </c>
      <c r="F143" s="3" t="s">
        <v>32</v>
      </c>
      <c r="G143" s="33" t="s">
        <v>33</v>
      </c>
      <c r="H143" s="2" t="s">
        <v>326</v>
      </c>
      <c r="I143" s="35" t="s">
        <v>19</v>
      </c>
      <c r="J143" s="10" t="s">
        <v>20</v>
      </c>
      <c r="K143" s="2" t="s">
        <v>113</v>
      </c>
      <c r="L143" s="2" t="s">
        <v>332</v>
      </c>
      <c r="M143" s="7" t="str">
        <f>IFERROR(VLOOKUP(H143,#REF!,2,FALSE),"-")</f>
        <v>-</v>
      </c>
    </row>
    <row r="144" spans="1:14" ht="24.75" customHeight="1" x14ac:dyDescent="0.35">
      <c r="A144" s="3" t="s">
        <v>302</v>
      </c>
      <c r="B144" s="18" t="s">
        <v>324</v>
      </c>
      <c r="C144" s="2" t="s">
        <v>333</v>
      </c>
      <c r="D144" s="29" t="s">
        <v>334</v>
      </c>
      <c r="E144" s="30" t="s">
        <v>31</v>
      </c>
      <c r="F144" s="3" t="s">
        <v>32</v>
      </c>
      <c r="G144" s="33" t="s">
        <v>33</v>
      </c>
      <c r="H144" s="2" t="s">
        <v>326</v>
      </c>
      <c r="I144" s="35" t="s">
        <v>19</v>
      </c>
      <c r="J144" s="10" t="s">
        <v>20</v>
      </c>
      <c r="K144" s="2" t="s">
        <v>21</v>
      </c>
      <c r="L144" s="2" t="s">
        <v>335</v>
      </c>
      <c r="M144" s="7" t="str">
        <f>IFERROR(VLOOKUP(H144,#REF!,2,FALSE),"-")</f>
        <v>-</v>
      </c>
    </row>
    <row r="145" spans="1:14" ht="24.75" customHeight="1" x14ac:dyDescent="0.35">
      <c r="A145" s="3" t="s">
        <v>302</v>
      </c>
      <c r="B145" s="18" t="s">
        <v>324</v>
      </c>
      <c r="C145" s="2" t="s">
        <v>333</v>
      </c>
      <c r="D145" s="29" t="s">
        <v>336</v>
      </c>
      <c r="E145" s="30" t="s">
        <v>31</v>
      </c>
      <c r="F145" s="3" t="s">
        <v>32</v>
      </c>
      <c r="G145" s="33" t="s">
        <v>33</v>
      </c>
      <c r="H145" s="2" t="s">
        <v>326</v>
      </c>
      <c r="I145" s="35" t="s">
        <v>19</v>
      </c>
      <c r="J145" s="10" t="s">
        <v>20</v>
      </c>
      <c r="K145" s="2" t="s">
        <v>21</v>
      </c>
      <c r="L145" s="2" t="s">
        <v>335</v>
      </c>
      <c r="M145" s="7" t="str">
        <f>IFERROR(VLOOKUP(H145,#REF!,2,FALSE),"-")</f>
        <v>-</v>
      </c>
    </row>
    <row r="146" spans="1:14" ht="24.75" customHeight="1" x14ac:dyDescent="0.35">
      <c r="A146" s="3" t="s">
        <v>11</v>
      </c>
      <c r="B146" s="18" t="s">
        <v>90</v>
      </c>
      <c r="C146" s="2" t="s">
        <v>91</v>
      </c>
      <c r="D146" s="29" t="s">
        <v>92</v>
      </c>
      <c r="E146" s="30" t="s">
        <v>37</v>
      </c>
      <c r="F146" s="3" t="s">
        <v>38</v>
      </c>
      <c r="G146" s="33" t="s">
        <v>39</v>
      </c>
      <c r="H146" s="2" t="s">
        <v>93</v>
      </c>
      <c r="I146" s="35" t="s">
        <v>19</v>
      </c>
      <c r="J146" s="10" t="s">
        <v>20</v>
      </c>
      <c r="K146" s="2" t="s">
        <v>94</v>
      </c>
      <c r="L146" s="5"/>
      <c r="M146" s="7" t="str">
        <f>IFERROR(VLOOKUP(H146,#REF!,2,FALSE),"-")</f>
        <v>-</v>
      </c>
    </row>
    <row r="147" spans="1:14" ht="24.75" customHeight="1" x14ac:dyDescent="0.35">
      <c r="A147" s="3" t="s">
        <v>11</v>
      </c>
      <c r="B147" s="18" t="s">
        <v>90</v>
      </c>
      <c r="C147" s="2" t="s">
        <v>91</v>
      </c>
      <c r="D147" s="29" t="s">
        <v>99</v>
      </c>
      <c r="E147" s="30" t="s">
        <v>31</v>
      </c>
      <c r="F147" s="3" t="s">
        <v>32</v>
      </c>
      <c r="G147" s="33" t="s">
        <v>33</v>
      </c>
      <c r="H147" s="2" t="s">
        <v>93</v>
      </c>
      <c r="I147" s="35" t="s">
        <v>19</v>
      </c>
      <c r="J147" s="10"/>
      <c r="K147" s="2"/>
      <c r="L147" s="5"/>
      <c r="M147" s="7" t="str">
        <f>IFERROR(VLOOKUP(H147,#REF!,2,FALSE),"-")</f>
        <v>-</v>
      </c>
    </row>
    <row r="148" spans="1:14" ht="24.75" customHeight="1" x14ac:dyDescent="0.35">
      <c r="A148" s="3" t="s">
        <v>11</v>
      </c>
      <c r="B148" s="18" t="s">
        <v>90</v>
      </c>
      <c r="C148" s="2" t="s">
        <v>87</v>
      </c>
      <c r="D148" s="29" t="s">
        <v>103</v>
      </c>
      <c r="E148" s="30" t="s">
        <v>44</v>
      </c>
      <c r="F148" s="3" t="s">
        <v>32</v>
      </c>
      <c r="G148" s="33" t="s">
        <v>33</v>
      </c>
      <c r="H148" s="2" t="s">
        <v>93</v>
      </c>
      <c r="I148" s="35" t="s">
        <v>19</v>
      </c>
      <c r="J148" s="10" t="s">
        <v>20</v>
      </c>
      <c r="K148" s="2"/>
      <c r="L148" s="5"/>
      <c r="M148" s="7" t="str">
        <f>IFERROR(VLOOKUP(H148,#REF!,2,FALSE),"-")</f>
        <v>-</v>
      </c>
    </row>
    <row r="149" spans="1:14" ht="24.75" customHeight="1" x14ac:dyDescent="0.35">
      <c r="A149" s="3" t="s">
        <v>11</v>
      </c>
      <c r="B149" s="18" t="s">
        <v>90</v>
      </c>
      <c r="C149" s="2" t="s">
        <v>87</v>
      </c>
      <c r="D149" s="29" t="s">
        <v>106</v>
      </c>
      <c r="E149" s="30" t="s">
        <v>31</v>
      </c>
      <c r="F149" s="3" t="s">
        <v>32</v>
      </c>
      <c r="G149" s="33" t="s">
        <v>33</v>
      </c>
      <c r="H149" s="2" t="s">
        <v>93</v>
      </c>
      <c r="I149" s="35" t="s">
        <v>19</v>
      </c>
      <c r="J149" s="10"/>
      <c r="K149" s="2"/>
      <c r="L149" s="5"/>
      <c r="M149" s="7" t="str">
        <f>IFERROR(VLOOKUP(H149,#REF!,2,FALSE),"-")</f>
        <v>-</v>
      </c>
    </row>
    <row r="150" spans="1:14" ht="24.75" customHeight="1" x14ac:dyDescent="0.35">
      <c r="A150" s="3" t="s">
        <v>11</v>
      </c>
      <c r="B150" s="18" t="s">
        <v>90</v>
      </c>
      <c r="C150" s="2" t="s">
        <v>47</v>
      </c>
      <c r="D150" s="29" t="s">
        <v>107</v>
      </c>
      <c r="E150" s="30" t="s">
        <v>31</v>
      </c>
      <c r="F150" s="3" t="s">
        <v>32</v>
      </c>
      <c r="G150" s="33" t="s">
        <v>33</v>
      </c>
      <c r="H150" s="2" t="s">
        <v>93</v>
      </c>
      <c r="I150" s="35" t="s">
        <v>19</v>
      </c>
      <c r="J150" s="10" t="s">
        <v>20</v>
      </c>
      <c r="K150" s="2"/>
      <c r="L150" s="5"/>
      <c r="M150" s="7" t="str">
        <f>IFERROR(VLOOKUP(H150,#REF!,2,FALSE),"-")</f>
        <v>-</v>
      </c>
    </row>
    <row r="151" spans="1:14" ht="24.75" customHeight="1" x14ac:dyDescent="0.35">
      <c r="A151" s="3" t="s">
        <v>11</v>
      </c>
      <c r="B151" s="18" t="s">
        <v>46</v>
      </c>
      <c r="C151" s="2" t="s">
        <v>47</v>
      </c>
      <c r="D151" s="29" t="s">
        <v>48</v>
      </c>
      <c r="E151" s="30" t="s">
        <v>37</v>
      </c>
      <c r="F151" s="3" t="s">
        <v>38</v>
      </c>
      <c r="G151" s="33" t="s">
        <v>39</v>
      </c>
      <c r="H151" s="2" t="s">
        <v>49</v>
      </c>
      <c r="I151" s="35" t="s">
        <v>19</v>
      </c>
      <c r="J151" s="10" t="s">
        <v>20</v>
      </c>
      <c r="K151" s="2" t="s">
        <v>27</v>
      </c>
      <c r="L151" s="5"/>
      <c r="M151" s="7" t="str">
        <f>IFERROR(VLOOKUP(H151,#REF!,2,FALSE),"-")</f>
        <v>-</v>
      </c>
    </row>
    <row r="152" spans="1:14" ht="24.75" customHeight="1" x14ac:dyDescent="0.35">
      <c r="A152" s="3" t="s">
        <v>11</v>
      </c>
      <c r="B152" s="18" t="s">
        <v>46</v>
      </c>
      <c r="C152" s="2" t="s">
        <v>59</v>
      </c>
      <c r="D152" s="29" t="s">
        <v>60</v>
      </c>
      <c r="E152" s="30" t="s">
        <v>44</v>
      </c>
      <c r="F152" s="3" t="s">
        <v>32</v>
      </c>
      <c r="G152" s="33" t="s">
        <v>33</v>
      </c>
      <c r="H152" s="2" t="s">
        <v>49</v>
      </c>
      <c r="I152" s="35" t="s">
        <v>19</v>
      </c>
      <c r="J152" s="10" t="s">
        <v>20</v>
      </c>
      <c r="K152" s="2" t="s">
        <v>61</v>
      </c>
      <c r="L152" s="5"/>
      <c r="M152" s="7" t="str">
        <f>IFERROR(VLOOKUP(H152,#REF!,2,FALSE),"-")</f>
        <v>-</v>
      </c>
    </row>
    <row r="153" spans="1:14" ht="24.75" customHeight="1" x14ac:dyDescent="0.35">
      <c r="A153" s="3" t="s">
        <v>11</v>
      </c>
      <c r="B153" s="18" t="s">
        <v>46</v>
      </c>
      <c r="C153" s="2" t="s">
        <v>62</v>
      </c>
      <c r="D153" s="29" t="s">
        <v>63</v>
      </c>
      <c r="E153" s="30" t="s">
        <v>44</v>
      </c>
      <c r="F153" s="3" t="s">
        <v>32</v>
      </c>
      <c r="G153" s="33" t="s">
        <v>33</v>
      </c>
      <c r="H153" s="2" t="s">
        <v>49</v>
      </c>
      <c r="I153" s="35" t="s">
        <v>19</v>
      </c>
      <c r="J153" s="10" t="s">
        <v>20</v>
      </c>
      <c r="K153" s="2" t="s">
        <v>21</v>
      </c>
      <c r="L153" s="5"/>
      <c r="M153" s="7" t="str">
        <f>IFERROR(VLOOKUP(H153,#REF!,2,FALSE),"-")</f>
        <v>-</v>
      </c>
    </row>
    <row r="154" spans="1:14" ht="24.75" customHeight="1" x14ac:dyDescent="0.35">
      <c r="A154" s="3" t="s">
        <v>302</v>
      </c>
      <c r="B154" s="18" t="s">
        <v>464</v>
      </c>
      <c r="C154" s="2" t="s">
        <v>408</v>
      </c>
      <c r="D154" s="29" t="s">
        <v>465</v>
      </c>
      <c r="E154" s="30" t="s">
        <v>31</v>
      </c>
      <c r="F154" s="3" t="s">
        <v>32</v>
      </c>
      <c r="G154" s="33" t="s">
        <v>33</v>
      </c>
      <c r="H154" s="2" t="s">
        <v>466</v>
      </c>
      <c r="I154" s="35" t="s">
        <v>19</v>
      </c>
      <c r="J154" s="10" t="s">
        <v>20</v>
      </c>
      <c r="K154" s="2" t="s">
        <v>415</v>
      </c>
      <c r="L154" s="2" t="s">
        <v>467</v>
      </c>
      <c r="M154" s="7" t="str">
        <f>IFERROR(VLOOKUP(H154,#REF!,2,FALSE),"-")</f>
        <v>-</v>
      </c>
    </row>
    <row r="155" spans="1:14" ht="24.75" customHeight="1" x14ac:dyDescent="0.35">
      <c r="A155" s="3" t="s">
        <v>302</v>
      </c>
      <c r="B155" s="18" t="s">
        <v>464</v>
      </c>
      <c r="C155" s="2" t="s">
        <v>408</v>
      </c>
      <c r="D155" s="29" t="s">
        <v>468</v>
      </c>
      <c r="E155" s="30" t="s">
        <v>31</v>
      </c>
      <c r="F155" s="3" t="s">
        <v>32</v>
      </c>
      <c r="G155" s="33" t="s">
        <v>33</v>
      </c>
      <c r="H155" s="2" t="s">
        <v>466</v>
      </c>
      <c r="I155" s="35" t="s">
        <v>19</v>
      </c>
      <c r="J155" s="10" t="s">
        <v>20</v>
      </c>
      <c r="K155" s="2" t="s">
        <v>415</v>
      </c>
      <c r="L155" s="2" t="s">
        <v>467</v>
      </c>
      <c r="M155" s="7" t="str">
        <f>IFERROR(VLOOKUP(H155,#REF!,2,FALSE),"-")</f>
        <v>-</v>
      </c>
    </row>
    <row r="156" spans="1:14" ht="24.75" customHeight="1" x14ac:dyDescent="0.35">
      <c r="A156" s="3" t="s">
        <v>302</v>
      </c>
      <c r="B156" s="18" t="s">
        <v>464</v>
      </c>
      <c r="C156" s="2" t="s">
        <v>87</v>
      </c>
      <c r="D156" s="29" t="s">
        <v>469</v>
      </c>
      <c r="E156" s="30" t="s">
        <v>31</v>
      </c>
      <c r="F156" s="3" t="s">
        <v>32</v>
      </c>
      <c r="G156" s="33" t="s">
        <v>33</v>
      </c>
      <c r="H156" s="2" t="s">
        <v>466</v>
      </c>
      <c r="I156" s="35" t="s">
        <v>19</v>
      </c>
      <c r="J156" s="10" t="s">
        <v>20</v>
      </c>
      <c r="K156" s="2" t="s">
        <v>470</v>
      </c>
      <c r="L156" s="1" t="s">
        <v>471</v>
      </c>
      <c r="M156" s="7" t="str">
        <f>IFERROR(VLOOKUP(H156,#REF!,2,FALSE),"-")</f>
        <v>-</v>
      </c>
    </row>
    <row r="157" spans="1:14" ht="24.75" customHeight="1" x14ac:dyDescent="0.35">
      <c r="A157" s="3" t="s">
        <v>302</v>
      </c>
      <c r="B157" s="18" t="s">
        <v>464</v>
      </c>
      <c r="C157" s="2" t="s">
        <v>87</v>
      </c>
      <c r="D157" s="29" t="s">
        <v>472</v>
      </c>
      <c r="E157" s="30" t="s">
        <v>31</v>
      </c>
      <c r="F157" s="3" t="s">
        <v>32</v>
      </c>
      <c r="G157" s="33" t="s">
        <v>33</v>
      </c>
      <c r="H157" s="2" t="s">
        <v>466</v>
      </c>
      <c r="I157" s="35" t="s">
        <v>19</v>
      </c>
      <c r="J157" s="10" t="s">
        <v>20</v>
      </c>
      <c r="K157" s="2" t="s">
        <v>470</v>
      </c>
      <c r="L157" s="1" t="s">
        <v>471</v>
      </c>
      <c r="M157" s="7" t="str">
        <f>IFERROR(VLOOKUP(H157,#REF!,2,FALSE),"-")</f>
        <v>-</v>
      </c>
    </row>
    <row r="158" spans="1:14" ht="24.75" customHeight="1" x14ac:dyDescent="0.35">
      <c r="A158" s="3" t="s">
        <v>302</v>
      </c>
      <c r="B158" s="18" t="s">
        <v>473</v>
      </c>
      <c r="C158" s="2" t="s">
        <v>180</v>
      </c>
      <c r="D158" s="29" t="s">
        <v>474</v>
      </c>
      <c r="E158" s="30" t="s">
        <v>31</v>
      </c>
      <c r="F158" s="3" t="s">
        <v>32</v>
      </c>
      <c r="G158" s="33" t="s">
        <v>33</v>
      </c>
      <c r="H158" s="2" t="s">
        <v>475</v>
      </c>
      <c r="I158" s="35" t="s">
        <v>112</v>
      </c>
      <c r="J158" s="10" t="s">
        <v>20</v>
      </c>
      <c r="K158" s="2" t="s">
        <v>113</v>
      </c>
      <c r="L158" s="2" t="s">
        <v>476</v>
      </c>
      <c r="M158" s="7" t="str">
        <f>IFERROR(VLOOKUP(H158,#REF!,2,FALSE),"-")</f>
        <v>-</v>
      </c>
      <c r="N158" s="7" t="str">
        <f>LEFT(I158,1)</f>
        <v>1</v>
      </c>
    </row>
    <row r="159" spans="1:14" ht="24.75" customHeight="1" x14ac:dyDescent="0.35">
      <c r="A159" s="3" t="s">
        <v>302</v>
      </c>
      <c r="B159" s="18" t="s">
        <v>473</v>
      </c>
      <c r="C159" s="2" t="s">
        <v>292</v>
      </c>
      <c r="D159" s="29" t="s">
        <v>477</v>
      </c>
      <c r="E159" s="30" t="s">
        <v>31</v>
      </c>
      <c r="F159" s="3" t="s">
        <v>32</v>
      </c>
      <c r="G159" s="33" t="s">
        <v>33</v>
      </c>
      <c r="H159" s="2" t="s">
        <v>475</v>
      </c>
      <c r="I159" s="35" t="s">
        <v>112</v>
      </c>
      <c r="J159" s="10" t="s">
        <v>20</v>
      </c>
      <c r="K159" s="2" t="s">
        <v>65</v>
      </c>
      <c r="L159" s="2" t="s">
        <v>478</v>
      </c>
      <c r="M159" s="7" t="str">
        <f>IFERROR(VLOOKUP(H159,#REF!,2,FALSE),"-")</f>
        <v>-</v>
      </c>
      <c r="N159" s="7" t="str">
        <f>LEFT(I159,1)</f>
        <v>1</v>
      </c>
    </row>
    <row r="160" spans="1:14" ht="24.75" customHeight="1" x14ac:dyDescent="0.35">
      <c r="A160" s="3" t="s">
        <v>302</v>
      </c>
      <c r="B160" s="18" t="s">
        <v>473</v>
      </c>
      <c r="C160" s="2" t="s">
        <v>325</v>
      </c>
      <c r="D160" s="29" t="s">
        <v>479</v>
      </c>
      <c r="E160" s="30" t="s">
        <v>31</v>
      </c>
      <c r="F160" s="3" t="s">
        <v>32</v>
      </c>
      <c r="G160" s="33" t="s">
        <v>33</v>
      </c>
      <c r="H160" s="2" t="s">
        <v>475</v>
      </c>
      <c r="I160" s="35" t="s">
        <v>112</v>
      </c>
      <c r="J160" s="10" t="s">
        <v>20</v>
      </c>
      <c r="K160" s="2" t="s">
        <v>480</v>
      </c>
      <c r="L160" s="2" t="s">
        <v>481</v>
      </c>
      <c r="M160" s="7" t="str">
        <f>IFERROR(VLOOKUP(H160,#REF!,2,FALSE),"-")</f>
        <v>-</v>
      </c>
      <c r="N160" s="7" t="str">
        <f>LEFT(I160,1)</f>
        <v>1</v>
      </c>
    </row>
    <row r="161" spans="1:14" ht="24.75" customHeight="1" x14ac:dyDescent="0.35">
      <c r="A161" s="3" t="s">
        <v>302</v>
      </c>
      <c r="B161" s="18" t="s">
        <v>567</v>
      </c>
      <c r="C161" s="2" t="s">
        <v>568</v>
      </c>
      <c r="D161" s="29" t="s">
        <v>569</v>
      </c>
      <c r="E161" s="30" t="s">
        <v>31</v>
      </c>
      <c r="F161" s="3" t="s">
        <v>32</v>
      </c>
      <c r="G161" s="33" t="s">
        <v>33</v>
      </c>
      <c r="H161" s="2" t="s">
        <v>570</v>
      </c>
      <c r="I161" s="35" t="s">
        <v>19</v>
      </c>
      <c r="J161" s="10" t="s">
        <v>20</v>
      </c>
      <c r="K161" s="2" t="s">
        <v>113</v>
      </c>
      <c r="L161" s="2" t="s">
        <v>571</v>
      </c>
      <c r="M161" s="7" t="str">
        <f>IFERROR(VLOOKUP(H161,#REF!,2,FALSE),"-")</f>
        <v>-</v>
      </c>
    </row>
    <row r="162" spans="1:14" ht="24.75" customHeight="1" x14ac:dyDescent="0.35">
      <c r="A162" s="3" t="s">
        <v>302</v>
      </c>
      <c r="B162" s="18" t="s">
        <v>567</v>
      </c>
      <c r="C162" s="2" t="s">
        <v>568</v>
      </c>
      <c r="D162" s="29" t="s">
        <v>572</v>
      </c>
      <c r="E162" s="30" t="s">
        <v>31</v>
      </c>
      <c r="F162" s="3" t="s">
        <v>32</v>
      </c>
      <c r="G162" s="33" t="s">
        <v>33</v>
      </c>
      <c r="H162" s="2" t="s">
        <v>570</v>
      </c>
      <c r="I162" s="35" t="s">
        <v>19</v>
      </c>
      <c r="J162" s="10" t="s">
        <v>20</v>
      </c>
      <c r="K162" s="2" t="s">
        <v>113</v>
      </c>
      <c r="L162" s="2" t="s">
        <v>571</v>
      </c>
      <c r="M162" s="7" t="str">
        <f>IFERROR(VLOOKUP(H162,#REF!,2,FALSE),"-")</f>
        <v>-</v>
      </c>
    </row>
    <row r="163" spans="1:14" ht="24.75" customHeight="1" x14ac:dyDescent="0.35">
      <c r="A163" s="3" t="s">
        <v>302</v>
      </c>
      <c r="B163" s="18" t="s">
        <v>560</v>
      </c>
      <c r="C163" s="2" t="s">
        <v>180</v>
      </c>
      <c r="D163" s="29" t="s">
        <v>561</v>
      </c>
      <c r="E163" s="30" t="s">
        <v>31</v>
      </c>
      <c r="F163" s="3" t="s">
        <v>32</v>
      </c>
      <c r="G163" s="33" t="s">
        <v>33</v>
      </c>
      <c r="H163" s="2" t="s">
        <v>562</v>
      </c>
      <c r="I163" s="35" t="s">
        <v>19</v>
      </c>
      <c r="J163" s="10" t="s">
        <v>20</v>
      </c>
      <c r="K163" s="2" t="s">
        <v>65</v>
      </c>
      <c r="L163" s="2" t="s">
        <v>563</v>
      </c>
      <c r="M163" s="7" t="str">
        <f>IFERROR(VLOOKUP(H163,#REF!,2,FALSE),"-")</f>
        <v>-</v>
      </c>
    </row>
    <row r="164" spans="1:14" ht="24.75" customHeight="1" x14ac:dyDescent="0.35">
      <c r="A164" s="3" t="s">
        <v>302</v>
      </c>
      <c r="B164" s="18" t="s">
        <v>560</v>
      </c>
      <c r="C164" s="2" t="s">
        <v>564</v>
      </c>
      <c r="D164" s="29" t="s">
        <v>565</v>
      </c>
      <c r="E164" s="30" t="s">
        <v>31</v>
      </c>
      <c r="F164" s="3" t="s">
        <v>32</v>
      </c>
      <c r="G164" s="33" t="s">
        <v>33</v>
      </c>
      <c r="H164" s="2" t="s">
        <v>562</v>
      </c>
      <c r="I164" s="35" t="s">
        <v>19</v>
      </c>
      <c r="J164" s="10" t="s">
        <v>20</v>
      </c>
      <c r="K164" s="2" t="s">
        <v>65</v>
      </c>
      <c r="L164" s="2" t="s">
        <v>566</v>
      </c>
      <c r="M164" s="7" t="str">
        <f>IFERROR(VLOOKUP(H164,#REF!,2,FALSE),"-")</f>
        <v>-</v>
      </c>
    </row>
    <row r="165" spans="1:14" ht="24.75" customHeight="1" x14ac:dyDescent="0.35">
      <c r="A165" s="3" t="s">
        <v>302</v>
      </c>
      <c r="B165" s="18" t="s">
        <v>482</v>
      </c>
      <c r="C165" s="2" t="s">
        <v>483</v>
      </c>
      <c r="D165" s="29" t="s">
        <v>484</v>
      </c>
      <c r="E165" s="30" t="s">
        <v>31</v>
      </c>
      <c r="F165" s="3" t="s">
        <v>32</v>
      </c>
      <c r="G165" s="33" t="s">
        <v>33</v>
      </c>
      <c r="H165" s="2" t="s">
        <v>485</v>
      </c>
      <c r="I165" s="35" t="s">
        <v>19</v>
      </c>
      <c r="J165" s="10" t="s">
        <v>20</v>
      </c>
      <c r="K165" s="2" t="s">
        <v>65</v>
      </c>
      <c r="L165" s="2" t="s">
        <v>486</v>
      </c>
      <c r="M165" s="7" t="str">
        <f>IFERROR(VLOOKUP(H165,#REF!,2,FALSE),"-")</f>
        <v>-</v>
      </c>
      <c r="N165" s="7" t="str">
        <f t="shared" ref="N165:N173" si="5">LEFT(I165,1)</f>
        <v>2</v>
      </c>
    </row>
    <row r="166" spans="1:14" ht="24.75" customHeight="1" x14ac:dyDescent="0.35">
      <c r="A166" s="3" t="s">
        <v>302</v>
      </c>
      <c r="B166" s="18" t="s">
        <v>482</v>
      </c>
      <c r="C166" s="2" t="s">
        <v>483</v>
      </c>
      <c r="D166" s="29" t="s">
        <v>487</v>
      </c>
      <c r="E166" s="30" t="s">
        <v>31</v>
      </c>
      <c r="F166" s="3" t="s">
        <v>32</v>
      </c>
      <c r="G166" s="33" t="s">
        <v>33</v>
      </c>
      <c r="H166" s="2" t="s">
        <v>485</v>
      </c>
      <c r="I166" s="35" t="s">
        <v>19</v>
      </c>
      <c r="J166" s="10" t="s">
        <v>20</v>
      </c>
      <c r="K166" s="2" t="s">
        <v>65</v>
      </c>
      <c r="L166" s="2" t="s">
        <v>486</v>
      </c>
      <c r="M166" s="7" t="str">
        <f>IFERROR(VLOOKUP(H166,#REF!,2,FALSE),"-")</f>
        <v>-</v>
      </c>
      <c r="N166" s="7" t="str">
        <f t="shared" si="5"/>
        <v>2</v>
      </c>
    </row>
    <row r="167" spans="1:14" ht="24.75" customHeight="1" x14ac:dyDescent="0.35">
      <c r="A167" s="3" t="s">
        <v>302</v>
      </c>
      <c r="B167" s="18" t="s">
        <v>482</v>
      </c>
      <c r="C167" s="2" t="s">
        <v>483</v>
      </c>
      <c r="D167" s="29" t="s">
        <v>488</v>
      </c>
      <c r="E167" s="30" t="s">
        <v>31</v>
      </c>
      <c r="F167" s="3" t="s">
        <v>32</v>
      </c>
      <c r="G167" s="33" t="s">
        <v>33</v>
      </c>
      <c r="H167" s="2" t="s">
        <v>485</v>
      </c>
      <c r="I167" s="35" t="s">
        <v>19</v>
      </c>
      <c r="J167" s="10" t="s">
        <v>20</v>
      </c>
      <c r="K167" s="2" t="s">
        <v>65</v>
      </c>
      <c r="L167" s="2" t="s">
        <v>486</v>
      </c>
      <c r="M167" s="7" t="str">
        <f>IFERROR(VLOOKUP(H167,#REF!,2,FALSE),"-")</f>
        <v>-</v>
      </c>
      <c r="N167" s="7" t="str">
        <f t="shared" si="5"/>
        <v>2</v>
      </c>
    </row>
    <row r="168" spans="1:14" ht="24.75" customHeight="1" x14ac:dyDescent="0.35">
      <c r="A168" s="3" t="s">
        <v>302</v>
      </c>
      <c r="B168" s="18" t="s">
        <v>482</v>
      </c>
      <c r="C168" s="2" t="s">
        <v>87</v>
      </c>
      <c r="D168" s="29" t="s">
        <v>489</v>
      </c>
      <c r="E168" s="30" t="s">
        <v>31</v>
      </c>
      <c r="F168" s="3" t="s">
        <v>32</v>
      </c>
      <c r="G168" s="33" t="s">
        <v>33</v>
      </c>
      <c r="H168" s="2" t="s">
        <v>485</v>
      </c>
      <c r="I168" s="35" t="s">
        <v>19</v>
      </c>
      <c r="J168" s="10" t="s">
        <v>20</v>
      </c>
      <c r="K168" s="2" t="s">
        <v>65</v>
      </c>
      <c r="L168" s="2" t="s">
        <v>490</v>
      </c>
      <c r="M168" s="7" t="str">
        <f>IFERROR(VLOOKUP(H168,#REF!,2,FALSE),"-")</f>
        <v>-</v>
      </c>
      <c r="N168" s="7" t="str">
        <f t="shared" si="5"/>
        <v>2</v>
      </c>
    </row>
    <row r="169" spans="1:14" ht="24.75" customHeight="1" x14ac:dyDescent="0.35">
      <c r="A169" s="3" t="s">
        <v>302</v>
      </c>
      <c r="B169" s="18" t="s">
        <v>482</v>
      </c>
      <c r="C169" s="2" t="s">
        <v>87</v>
      </c>
      <c r="D169" s="29" t="s">
        <v>491</v>
      </c>
      <c r="E169" s="30" t="s">
        <v>31</v>
      </c>
      <c r="F169" s="3" t="s">
        <v>32</v>
      </c>
      <c r="G169" s="33" t="s">
        <v>33</v>
      </c>
      <c r="H169" s="2" t="s">
        <v>485</v>
      </c>
      <c r="I169" s="35" t="s">
        <v>19</v>
      </c>
      <c r="J169" s="10" t="s">
        <v>20</v>
      </c>
      <c r="K169" s="2" t="s">
        <v>65</v>
      </c>
      <c r="L169" s="2" t="s">
        <v>490</v>
      </c>
      <c r="M169" s="7" t="str">
        <f>IFERROR(VLOOKUP(H169,#REF!,2,FALSE),"-")</f>
        <v>-</v>
      </c>
      <c r="N169" s="7" t="str">
        <f t="shared" si="5"/>
        <v>2</v>
      </c>
    </row>
    <row r="170" spans="1:14" ht="24.75" customHeight="1" x14ac:dyDescent="0.35">
      <c r="A170" s="3" t="s">
        <v>302</v>
      </c>
      <c r="B170" s="18" t="s">
        <v>482</v>
      </c>
      <c r="C170" s="2" t="s">
        <v>87</v>
      </c>
      <c r="D170" s="29" t="s">
        <v>492</v>
      </c>
      <c r="E170" s="30" t="s">
        <v>195</v>
      </c>
      <c r="F170" s="3" t="s">
        <v>38</v>
      </c>
      <c r="G170" s="33" t="s">
        <v>196</v>
      </c>
      <c r="H170" s="2" t="s">
        <v>485</v>
      </c>
      <c r="I170" s="35" t="s">
        <v>19</v>
      </c>
      <c r="J170" s="10" t="s">
        <v>20</v>
      </c>
      <c r="K170" s="2" t="s">
        <v>65</v>
      </c>
      <c r="L170" s="2" t="s">
        <v>490</v>
      </c>
      <c r="M170" s="7" t="str">
        <f>IFERROR(VLOOKUP(H170,#REF!,2,FALSE),"-")</f>
        <v>-</v>
      </c>
      <c r="N170" s="7" t="str">
        <f t="shared" si="5"/>
        <v>2</v>
      </c>
    </row>
    <row r="171" spans="1:14" ht="24.75" customHeight="1" x14ac:dyDescent="0.35">
      <c r="A171" s="3" t="s">
        <v>302</v>
      </c>
      <c r="B171" s="18" t="s">
        <v>482</v>
      </c>
      <c r="C171" s="2" t="s">
        <v>87</v>
      </c>
      <c r="D171" s="29" t="s">
        <v>493</v>
      </c>
      <c r="E171" s="30" t="s">
        <v>54</v>
      </c>
      <c r="F171" s="3" t="s">
        <v>16</v>
      </c>
      <c r="G171" s="33" t="s">
        <v>17</v>
      </c>
      <c r="H171" s="2" t="s">
        <v>485</v>
      </c>
      <c r="I171" s="35" t="s">
        <v>19</v>
      </c>
      <c r="J171" s="10" t="s">
        <v>20</v>
      </c>
      <c r="K171" s="2" t="s">
        <v>65</v>
      </c>
      <c r="L171" s="2" t="s">
        <v>490</v>
      </c>
      <c r="M171" s="7" t="str">
        <f>IFERROR(VLOOKUP(H171,#REF!,2,FALSE),"-")</f>
        <v>-</v>
      </c>
      <c r="N171" s="7" t="str">
        <f t="shared" si="5"/>
        <v>2</v>
      </c>
    </row>
    <row r="172" spans="1:14" ht="24.75" customHeight="1" x14ac:dyDescent="0.35">
      <c r="A172" s="3" t="s">
        <v>302</v>
      </c>
      <c r="B172" s="18" t="s">
        <v>482</v>
      </c>
      <c r="C172" s="2" t="s">
        <v>325</v>
      </c>
      <c r="D172" s="29" t="s">
        <v>494</v>
      </c>
      <c r="E172" s="30" t="s">
        <v>31</v>
      </c>
      <c r="F172" s="3" t="s">
        <v>32</v>
      </c>
      <c r="G172" s="33" t="s">
        <v>33</v>
      </c>
      <c r="H172" s="2" t="s">
        <v>485</v>
      </c>
      <c r="I172" s="35" t="s">
        <v>19</v>
      </c>
      <c r="J172" s="10" t="s">
        <v>20</v>
      </c>
      <c r="K172" s="15" t="s">
        <v>21</v>
      </c>
      <c r="L172" s="2" t="s">
        <v>495</v>
      </c>
      <c r="M172" s="7" t="str">
        <f>IFERROR(VLOOKUP(H172,#REF!,2,FALSE),"-")</f>
        <v>-</v>
      </c>
      <c r="N172" s="7" t="str">
        <f t="shared" si="5"/>
        <v>2</v>
      </c>
    </row>
    <row r="173" spans="1:14" ht="24.75" customHeight="1" x14ac:dyDescent="0.35">
      <c r="A173" s="3" t="s">
        <v>302</v>
      </c>
      <c r="B173" s="18" t="s">
        <v>482</v>
      </c>
      <c r="C173" s="2" t="s">
        <v>325</v>
      </c>
      <c r="D173" s="29" t="s">
        <v>496</v>
      </c>
      <c r="E173" s="30" t="s">
        <v>31</v>
      </c>
      <c r="F173" s="3" t="s">
        <v>32</v>
      </c>
      <c r="G173" s="33" t="s">
        <v>33</v>
      </c>
      <c r="H173" s="2" t="s">
        <v>485</v>
      </c>
      <c r="I173" s="35" t="s">
        <v>19</v>
      </c>
      <c r="J173" s="10" t="s">
        <v>20</v>
      </c>
      <c r="K173" s="15" t="s">
        <v>21</v>
      </c>
      <c r="L173" s="2" t="s">
        <v>495</v>
      </c>
      <c r="M173" s="7" t="str">
        <f>IFERROR(VLOOKUP(H173,#REF!,2,FALSE),"-")</f>
        <v>-</v>
      </c>
      <c r="N173" s="7" t="str">
        <f t="shared" si="5"/>
        <v>2</v>
      </c>
    </row>
    <row r="174" spans="1:14" ht="24.75" customHeight="1" x14ac:dyDescent="0.35">
      <c r="A174" s="3" t="s">
        <v>11</v>
      </c>
      <c r="B174" s="18" t="s">
        <v>249</v>
      </c>
      <c r="C174" s="2" t="s">
        <v>250</v>
      </c>
      <c r="D174" s="29" t="s">
        <v>251</v>
      </c>
      <c r="E174" s="30" t="s">
        <v>44</v>
      </c>
      <c r="F174" s="3" t="s">
        <v>32</v>
      </c>
      <c r="G174" s="33" t="s">
        <v>33</v>
      </c>
      <c r="H174" s="2" t="s">
        <v>252</v>
      </c>
      <c r="I174" s="35" t="s">
        <v>19</v>
      </c>
      <c r="J174" s="10" t="s">
        <v>20</v>
      </c>
      <c r="K174" s="15" t="s">
        <v>75</v>
      </c>
      <c r="L174" s="5"/>
      <c r="M174" s="7" t="str">
        <f>IFERROR(VLOOKUP(H174,#REF!,2,FALSE),"-")</f>
        <v>-</v>
      </c>
    </row>
    <row r="175" spans="1:14" ht="24.75" customHeight="1" x14ac:dyDescent="0.35">
      <c r="A175" s="3" t="s">
        <v>11</v>
      </c>
      <c r="B175" s="18" t="s">
        <v>249</v>
      </c>
      <c r="C175" s="2" t="s">
        <v>47</v>
      </c>
      <c r="D175" s="29" t="s">
        <v>253</v>
      </c>
      <c r="E175" s="30" t="s">
        <v>31</v>
      </c>
      <c r="F175" s="3" t="s">
        <v>32</v>
      </c>
      <c r="G175" s="33" t="s">
        <v>33</v>
      </c>
      <c r="H175" s="2" t="s">
        <v>252</v>
      </c>
      <c r="I175" s="35" t="s">
        <v>19</v>
      </c>
      <c r="J175" s="10" t="s">
        <v>20</v>
      </c>
      <c r="K175" s="15" t="s">
        <v>75</v>
      </c>
      <c r="L175" s="5"/>
      <c r="M175" s="7" t="str">
        <f>IFERROR(VLOOKUP(H175,#REF!,2,FALSE),"-")</f>
        <v>-</v>
      </c>
    </row>
    <row r="176" spans="1:14" ht="24.75" customHeight="1" x14ac:dyDescent="0.35">
      <c r="A176" s="3" t="s">
        <v>11</v>
      </c>
      <c r="B176" s="18" t="s">
        <v>249</v>
      </c>
      <c r="C176" s="2" t="s">
        <v>91</v>
      </c>
      <c r="D176" s="29" t="s">
        <v>254</v>
      </c>
      <c r="E176" s="30" t="s">
        <v>195</v>
      </c>
      <c r="F176" s="3" t="s">
        <v>38</v>
      </c>
      <c r="G176" s="33" t="s">
        <v>196</v>
      </c>
      <c r="H176" s="2" t="s">
        <v>252</v>
      </c>
      <c r="I176" s="35" t="s">
        <v>19</v>
      </c>
      <c r="J176" s="10" t="s">
        <v>20</v>
      </c>
      <c r="K176" s="2" t="s">
        <v>75</v>
      </c>
      <c r="L176" s="5"/>
      <c r="M176" s="7" t="str">
        <f>IFERROR(VLOOKUP(H176,#REF!,2,FALSE),"-")</f>
        <v>-</v>
      </c>
    </row>
    <row r="177" spans="1:14" ht="24.75" customHeight="1" x14ac:dyDescent="0.35">
      <c r="A177" s="3" t="s">
        <v>11</v>
      </c>
      <c r="B177" s="18" t="s">
        <v>255</v>
      </c>
      <c r="C177" s="2" t="s">
        <v>160</v>
      </c>
      <c r="D177" s="29" t="s">
        <v>256</v>
      </c>
      <c r="E177" s="30" t="s">
        <v>148</v>
      </c>
      <c r="F177" s="3" t="s">
        <v>32</v>
      </c>
      <c r="G177" s="33" t="s">
        <v>33</v>
      </c>
      <c r="H177" s="2" t="s">
        <v>257</v>
      </c>
      <c r="I177" s="35" t="s">
        <v>19</v>
      </c>
      <c r="J177" s="10" t="s">
        <v>20</v>
      </c>
      <c r="K177" s="2" t="s">
        <v>65</v>
      </c>
      <c r="L177" s="5"/>
      <c r="M177" s="7" t="str">
        <f>IFERROR(VLOOKUP(H177,#REF!,2,FALSE),"-")</f>
        <v>-</v>
      </c>
    </row>
    <row r="178" spans="1:14" ht="24.75" customHeight="1" x14ac:dyDescent="0.35">
      <c r="A178" s="3" t="s">
        <v>11</v>
      </c>
      <c r="B178" s="18" t="s">
        <v>255</v>
      </c>
      <c r="C178" s="2" t="s">
        <v>87</v>
      </c>
      <c r="D178" s="29" t="s">
        <v>258</v>
      </c>
      <c r="E178" s="30" t="s">
        <v>15</v>
      </c>
      <c r="F178" s="3" t="s">
        <v>16</v>
      </c>
      <c r="G178" s="33" t="s">
        <v>17</v>
      </c>
      <c r="H178" s="2" t="s">
        <v>257</v>
      </c>
      <c r="I178" s="35" t="s">
        <v>19</v>
      </c>
      <c r="J178" s="10" t="s">
        <v>20</v>
      </c>
      <c r="K178" s="2" t="s">
        <v>65</v>
      </c>
      <c r="L178" s="5"/>
      <c r="M178" s="7" t="str">
        <f>IFERROR(VLOOKUP(H178,#REF!,2,FALSE),"-")</f>
        <v>-</v>
      </c>
    </row>
    <row r="179" spans="1:14" ht="24.75" customHeight="1" x14ac:dyDescent="0.35">
      <c r="A179" s="3" t="s">
        <v>11</v>
      </c>
      <c r="B179" s="18" t="s">
        <v>255</v>
      </c>
      <c r="C179" s="2" t="s">
        <v>259</v>
      </c>
      <c r="D179" s="29" t="s">
        <v>260</v>
      </c>
      <c r="E179" s="30" t="s">
        <v>148</v>
      </c>
      <c r="F179" s="3" t="s">
        <v>32</v>
      </c>
      <c r="G179" s="33" t="s">
        <v>33</v>
      </c>
      <c r="H179" s="2" t="s">
        <v>257</v>
      </c>
      <c r="I179" s="35" t="s">
        <v>19</v>
      </c>
      <c r="J179" s="10" t="s">
        <v>20</v>
      </c>
      <c r="K179" s="2" t="s">
        <v>261</v>
      </c>
      <c r="L179" s="5" t="s">
        <v>262</v>
      </c>
      <c r="M179" s="7" t="str">
        <f>IFERROR(VLOOKUP(H179,#REF!,2,FALSE),"-")</f>
        <v>-</v>
      </c>
    </row>
    <row r="180" spans="1:14" ht="24.75" customHeight="1" x14ac:dyDescent="0.35">
      <c r="A180" s="3" t="s">
        <v>11</v>
      </c>
      <c r="B180" s="18" t="s">
        <v>255</v>
      </c>
      <c r="C180" s="2" t="s">
        <v>259</v>
      </c>
      <c r="D180" s="29" t="s">
        <v>263</v>
      </c>
      <c r="E180" s="30" t="s">
        <v>44</v>
      </c>
      <c r="F180" s="3" t="s">
        <v>32</v>
      </c>
      <c r="G180" s="33" t="s">
        <v>33</v>
      </c>
      <c r="H180" s="2" t="s">
        <v>257</v>
      </c>
      <c r="I180" s="35" t="s">
        <v>19</v>
      </c>
      <c r="J180" s="10"/>
      <c r="K180" s="2"/>
      <c r="L180" s="5"/>
      <c r="M180" s="7" t="str">
        <f>IFERROR(VLOOKUP(H180,#REF!,2,FALSE),"-")</f>
        <v>-</v>
      </c>
    </row>
    <row r="181" spans="1:14" ht="24.75" customHeight="1" x14ac:dyDescent="0.35">
      <c r="A181" s="3" t="s">
        <v>11</v>
      </c>
      <c r="B181" s="18" t="s">
        <v>255</v>
      </c>
      <c r="C181" s="2" t="s">
        <v>259</v>
      </c>
      <c r="D181" s="29" t="s">
        <v>264</v>
      </c>
      <c r="E181" s="30" t="s">
        <v>31</v>
      </c>
      <c r="F181" s="3" t="s">
        <v>32</v>
      </c>
      <c r="G181" s="33" t="s">
        <v>33</v>
      </c>
      <c r="H181" s="2" t="s">
        <v>257</v>
      </c>
      <c r="I181" s="35" t="s">
        <v>19</v>
      </c>
      <c r="J181" s="10"/>
      <c r="K181" s="2"/>
      <c r="L181" s="5"/>
      <c r="M181" s="7" t="str">
        <f>IFERROR(VLOOKUP(H181,#REF!,2,FALSE),"-")</f>
        <v>-</v>
      </c>
    </row>
    <row r="182" spans="1:14" ht="24.75" customHeight="1" x14ac:dyDescent="0.35">
      <c r="A182" s="3" t="s">
        <v>302</v>
      </c>
      <c r="B182" s="18" t="s">
        <v>497</v>
      </c>
      <c r="C182" s="2" t="s">
        <v>59</v>
      </c>
      <c r="D182" s="29" t="s">
        <v>498</v>
      </c>
      <c r="E182" s="30" t="s">
        <v>31</v>
      </c>
      <c r="F182" s="3" t="s">
        <v>32</v>
      </c>
      <c r="G182" s="33" t="s">
        <v>33</v>
      </c>
      <c r="H182" s="2" t="s">
        <v>499</v>
      </c>
      <c r="I182" s="35" t="s">
        <v>19</v>
      </c>
      <c r="J182" s="10" t="s">
        <v>20</v>
      </c>
      <c r="K182" s="15" t="s">
        <v>65</v>
      </c>
      <c r="L182" s="2" t="s">
        <v>500</v>
      </c>
      <c r="M182" s="7" t="str">
        <f>IFERROR(VLOOKUP(H182,#REF!,2,FALSE),"-")</f>
        <v>-</v>
      </c>
    </row>
    <row r="183" spans="1:14" ht="24.75" customHeight="1" x14ac:dyDescent="0.35">
      <c r="A183" s="3" t="s">
        <v>302</v>
      </c>
      <c r="B183" s="18" t="s">
        <v>497</v>
      </c>
      <c r="C183" s="2" t="s">
        <v>59</v>
      </c>
      <c r="D183" s="29" t="s">
        <v>501</v>
      </c>
      <c r="E183" s="30" t="s">
        <v>31</v>
      </c>
      <c r="F183" s="3" t="s">
        <v>32</v>
      </c>
      <c r="G183" s="33" t="s">
        <v>33</v>
      </c>
      <c r="H183" s="2" t="s">
        <v>499</v>
      </c>
      <c r="I183" s="35" t="s">
        <v>19</v>
      </c>
      <c r="J183" s="10" t="s">
        <v>20</v>
      </c>
      <c r="K183" s="15" t="s">
        <v>65</v>
      </c>
      <c r="L183" s="2" t="s">
        <v>500</v>
      </c>
      <c r="M183" s="7" t="str">
        <f>IFERROR(VLOOKUP(H183,#REF!,2,FALSE),"-")</f>
        <v>-</v>
      </c>
    </row>
    <row r="184" spans="1:14" ht="24.75" customHeight="1" x14ac:dyDescent="0.35">
      <c r="A184" s="3" t="s">
        <v>302</v>
      </c>
      <c r="B184" s="18" t="s">
        <v>497</v>
      </c>
      <c r="C184" s="2" t="s">
        <v>59</v>
      </c>
      <c r="D184" s="29" t="s">
        <v>502</v>
      </c>
      <c r="E184" s="30" t="s">
        <v>31</v>
      </c>
      <c r="F184" s="3" t="s">
        <v>32</v>
      </c>
      <c r="G184" s="33" t="s">
        <v>33</v>
      </c>
      <c r="H184" s="2" t="s">
        <v>499</v>
      </c>
      <c r="I184" s="35" t="s">
        <v>19</v>
      </c>
      <c r="J184" s="10" t="s">
        <v>20</v>
      </c>
      <c r="K184" s="15" t="s">
        <v>65</v>
      </c>
      <c r="L184" s="2" t="s">
        <v>500</v>
      </c>
      <c r="M184" s="7" t="str">
        <f>IFERROR(VLOOKUP(H184,#REF!,2,FALSE),"-")</f>
        <v>-</v>
      </c>
    </row>
    <row r="185" spans="1:14" ht="24.75" customHeight="1" x14ac:dyDescent="0.35">
      <c r="A185" s="3" t="s">
        <v>302</v>
      </c>
      <c r="B185" s="18" t="s">
        <v>497</v>
      </c>
      <c r="C185" s="2" t="s">
        <v>79</v>
      </c>
      <c r="D185" s="29" t="s">
        <v>503</v>
      </c>
      <c r="E185" s="30" t="s">
        <v>31</v>
      </c>
      <c r="F185" s="3" t="s">
        <v>32</v>
      </c>
      <c r="G185" s="33" t="s">
        <v>33</v>
      </c>
      <c r="H185" s="2" t="s">
        <v>499</v>
      </c>
      <c r="I185" s="35" t="s">
        <v>19</v>
      </c>
      <c r="J185" s="10" t="s">
        <v>20</v>
      </c>
      <c r="K185" s="2" t="s">
        <v>65</v>
      </c>
      <c r="L185" s="2" t="s">
        <v>504</v>
      </c>
      <c r="M185" s="7" t="str">
        <f>IFERROR(VLOOKUP(H185,#REF!,2,FALSE),"-")</f>
        <v>-</v>
      </c>
    </row>
    <row r="186" spans="1:14" ht="24.75" customHeight="1" x14ac:dyDescent="0.35">
      <c r="A186" s="3" t="s">
        <v>302</v>
      </c>
      <c r="B186" s="18" t="s">
        <v>497</v>
      </c>
      <c r="C186" s="2" t="s">
        <v>79</v>
      </c>
      <c r="D186" s="29" t="s">
        <v>505</v>
      </c>
      <c r="E186" s="30" t="s">
        <v>31</v>
      </c>
      <c r="F186" s="3" t="s">
        <v>32</v>
      </c>
      <c r="G186" s="33" t="s">
        <v>33</v>
      </c>
      <c r="H186" s="2" t="s">
        <v>499</v>
      </c>
      <c r="I186" s="35" t="s">
        <v>19</v>
      </c>
      <c r="J186" s="10" t="s">
        <v>20</v>
      </c>
      <c r="K186" s="2" t="s">
        <v>65</v>
      </c>
      <c r="L186" s="2" t="s">
        <v>504</v>
      </c>
      <c r="M186" s="7" t="str">
        <f>IFERROR(VLOOKUP(H186,#REF!,2,FALSE),"-")</f>
        <v>-</v>
      </c>
    </row>
    <row r="187" spans="1:14" ht="24.75" customHeight="1" x14ac:dyDescent="0.35">
      <c r="A187" s="3" t="s">
        <v>302</v>
      </c>
      <c r="B187" s="18" t="s">
        <v>497</v>
      </c>
      <c r="C187" s="2" t="s">
        <v>79</v>
      </c>
      <c r="D187" s="29" t="s">
        <v>506</v>
      </c>
      <c r="E187" s="30" t="s">
        <v>31</v>
      </c>
      <c r="F187" s="3" t="s">
        <v>32</v>
      </c>
      <c r="G187" s="33" t="s">
        <v>33</v>
      </c>
      <c r="H187" s="2" t="s">
        <v>499</v>
      </c>
      <c r="I187" s="35" t="s">
        <v>19</v>
      </c>
      <c r="J187" s="10" t="s">
        <v>20</v>
      </c>
      <c r="K187" s="2" t="s">
        <v>65</v>
      </c>
      <c r="L187" s="2" t="s">
        <v>504</v>
      </c>
      <c r="M187" s="7" t="str">
        <f>IFERROR(VLOOKUP(H187,#REF!,2,FALSE),"-")</f>
        <v>-</v>
      </c>
    </row>
    <row r="188" spans="1:14" ht="24.75" customHeight="1" x14ac:dyDescent="0.35">
      <c r="A188" s="3" t="s">
        <v>302</v>
      </c>
      <c r="B188" s="18" t="s">
        <v>497</v>
      </c>
      <c r="C188" s="2" t="s">
        <v>79</v>
      </c>
      <c r="D188" s="29" t="s">
        <v>507</v>
      </c>
      <c r="E188" s="30" t="s">
        <v>31</v>
      </c>
      <c r="F188" s="3" t="s">
        <v>32</v>
      </c>
      <c r="G188" s="33" t="s">
        <v>33</v>
      </c>
      <c r="H188" s="2" t="s">
        <v>499</v>
      </c>
      <c r="I188" s="35" t="s">
        <v>19</v>
      </c>
      <c r="J188" s="10" t="s">
        <v>20</v>
      </c>
      <c r="K188" s="2" t="s">
        <v>65</v>
      </c>
      <c r="L188" s="2" t="s">
        <v>504</v>
      </c>
      <c r="M188" s="7" t="str">
        <f>IFERROR(VLOOKUP(H188,#REF!,2,FALSE),"-")</f>
        <v>-</v>
      </c>
    </row>
    <row r="189" spans="1:14" ht="24.75" customHeight="1" x14ac:dyDescent="0.35">
      <c r="A189" s="3" t="s">
        <v>302</v>
      </c>
      <c r="B189" s="18" t="s">
        <v>497</v>
      </c>
      <c r="C189" s="2" t="s">
        <v>79</v>
      </c>
      <c r="D189" s="29" t="s">
        <v>508</v>
      </c>
      <c r="E189" s="30" t="s">
        <v>54</v>
      </c>
      <c r="F189" s="3" t="s">
        <v>16</v>
      </c>
      <c r="G189" s="33" t="s">
        <v>17</v>
      </c>
      <c r="H189" s="2" t="s">
        <v>499</v>
      </c>
      <c r="I189" s="35" t="s">
        <v>19</v>
      </c>
      <c r="J189" s="10" t="s">
        <v>20</v>
      </c>
      <c r="K189" s="2" t="s">
        <v>65</v>
      </c>
      <c r="L189" s="2" t="s">
        <v>504</v>
      </c>
      <c r="M189" s="7" t="str">
        <f>IFERROR(VLOOKUP(H189,#REF!,2,FALSE),"-")</f>
        <v>-</v>
      </c>
    </row>
    <row r="190" spans="1:14" ht="24.75" customHeight="1" x14ac:dyDescent="0.35">
      <c r="A190" s="3" t="s">
        <v>302</v>
      </c>
      <c r="B190" s="18" t="s">
        <v>497</v>
      </c>
      <c r="C190" s="2" t="s">
        <v>87</v>
      </c>
      <c r="D190" s="29" t="s">
        <v>509</v>
      </c>
      <c r="E190" s="30" t="s">
        <v>31</v>
      </c>
      <c r="F190" s="3" t="s">
        <v>32</v>
      </c>
      <c r="G190" s="33" t="s">
        <v>33</v>
      </c>
      <c r="H190" s="2" t="s">
        <v>499</v>
      </c>
      <c r="I190" s="35" t="s">
        <v>19</v>
      </c>
      <c r="J190" s="10" t="s">
        <v>20</v>
      </c>
      <c r="K190" s="15" t="s">
        <v>319</v>
      </c>
      <c r="L190" s="2" t="s">
        <v>510</v>
      </c>
      <c r="M190" s="7" t="str">
        <f>IFERROR(VLOOKUP(H190,#REF!,2,FALSE),"-")</f>
        <v>-</v>
      </c>
    </row>
    <row r="191" spans="1:14" ht="24.75" customHeight="1" x14ac:dyDescent="0.35">
      <c r="A191" s="3" t="s">
        <v>302</v>
      </c>
      <c r="B191" s="18" t="s">
        <v>497</v>
      </c>
      <c r="C191" s="2" t="s">
        <v>87</v>
      </c>
      <c r="D191" s="29" t="s">
        <v>511</v>
      </c>
      <c r="E191" s="30" t="s">
        <v>31</v>
      </c>
      <c r="F191" s="3" t="s">
        <v>32</v>
      </c>
      <c r="G191" s="33" t="s">
        <v>33</v>
      </c>
      <c r="H191" s="2" t="s">
        <v>499</v>
      </c>
      <c r="I191" s="35" t="s">
        <v>19</v>
      </c>
      <c r="J191" s="10" t="s">
        <v>20</v>
      </c>
      <c r="K191" s="15" t="s">
        <v>319</v>
      </c>
      <c r="L191" s="2" t="s">
        <v>510</v>
      </c>
      <c r="M191" s="7" t="str">
        <f>IFERROR(VLOOKUP(H191,#REF!,2,FALSE),"-")</f>
        <v>-</v>
      </c>
    </row>
    <row r="192" spans="1:14" ht="24.75" customHeight="1" x14ac:dyDescent="0.35">
      <c r="A192" s="3" t="s">
        <v>11</v>
      </c>
      <c r="B192" s="18" t="s">
        <v>108</v>
      </c>
      <c r="C192" s="2" t="s">
        <v>109</v>
      </c>
      <c r="D192" s="29" t="s">
        <v>110</v>
      </c>
      <c r="E192" s="30" t="s">
        <v>37</v>
      </c>
      <c r="F192" s="3" t="s">
        <v>38</v>
      </c>
      <c r="G192" s="33" t="s">
        <v>39</v>
      </c>
      <c r="H192" s="2" t="s">
        <v>111</v>
      </c>
      <c r="I192" s="35" t="s">
        <v>112</v>
      </c>
      <c r="J192" s="10" t="s">
        <v>20</v>
      </c>
      <c r="K192" s="2" t="s">
        <v>113</v>
      </c>
      <c r="L192" s="5"/>
      <c r="M192" s="7" t="str">
        <f>IFERROR(VLOOKUP(H192,#REF!,2,FALSE),"-")</f>
        <v>-</v>
      </c>
      <c r="N192" s="7" t="str">
        <f>LEFT(I192,1)</f>
        <v>1</v>
      </c>
    </row>
    <row r="193" spans="1:14" ht="24.75" customHeight="1" x14ac:dyDescent="0.35">
      <c r="A193" s="3" t="s">
        <v>11</v>
      </c>
      <c r="B193" s="18" t="s">
        <v>108</v>
      </c>
      <c r="C193" s="2" t="s">
        <v>109</v>
      </c>
      <c r="D193" s="29" t="s">
        <v>118</v>
      </c>
      <c r="E193" s="30" t="s">
        <v>31</v>
      </c>
      <c r="F193" s="3" t="s">
        <v>32</v>
      </c>
      <c r="G193" s="33" t="s">
        <v>33</v>
      </c>
      <c r="H193" s="2" t="s">
        <v>111</v>
      </c>
      <c r="I193" s="35" t="s">
        <v>112</v>
      </c>
      <c r="J193" s="10"/>
      <c r="K193" s="15"/>
      <c r="L193" s="5"/>
      <c r="M193" s="7" t="str">
        <f>IFERROR(VLOOKUP(H193,#REF!,2,FALSE),"-")</f>
        <v>-</v>
      </c>
      <c r="N193" s="7" t="str">
        <f>LEFT(I193,1)</f>
        <v>1</v>
      </c>
    </row>
    <row r="194" spans="1:14" ht="24.75" customHeight="1" x14ac:dyDescent="0.35">
      <c r="A194" s="3" t="s">
        <v>11</v>
      </c>
      <c r="B194" s="18" t="s">
        <v>108</v>
      </c>
      <c r="C194" s="2" t="s">
        <v>29</v>
      </c>
      <c r="D194" s="29" t="s">
        <v>119</v>
      </c>
      <c r="E194" s="30" t="s">
        <v>31</v>
      </c>
      <c r="F194" s="3" t="s">
        <v>32</v>
      </c>
      <c r="G194" s="33" t="s">
        <v>33</v>
      </c>
      <c r="H194" s="2" t="s">
        <v>111</v>
      </c>
      <c r="I194" s="35" t="s">
        <v>112</v>
      </c>
      <c r="J194" s="10" t="s">
        <v>20</v>
      </c>
      <c r="K194" s="2" t="s">
        <v>113</v>
      </c>
      <c r="L194" s="5"/>
      <c r="M194" s="7" t="str">
        <f>IFERROR(VLOOKUP(H194,#REF!,2,FALSE),"-")</f>
        <v>-</v>
      </c>
      <c r="N194" s="7" t="str">
        <f>LEFT(I194,1)</f>
        <v>1</v>
      </c>
    </row>
    <row r="195" spans="1:14" ht="24.75" customHeight="1" x14ac:dyDescent="0.35">
      <c r="A195" s="3" t="s">
        <v>11</v>
      </c>
      <c r="B195" s="18" t="s">
        <v>108</v>
      </c>
      <c r="C195" s="2" t="s">
        <v>120</v>
      </c>
      <c r="D195" s="29" t="s">
        <v>121</v>
      </c>
      <c r="E195" s="30" t="s">
        <v>31</v>
      </c>
      <c r="F195" s="3" t="s">
        <v>32</v>
      </c>
      <c r="G195" s="33" t="s">
        <v>33</v>
      </c>
      <c r="H195" s="2" t="s">
        <v>111</v>
      </c>
      <c r="I195" s="35" t="s">
        <v>112</v>
      </c>
      <c r="J195" s="10" t="s">
        <v>20</v>
      </c>
      <c r="K195" s="15" t="s">
        <v>94</v>
      </c>
      <c r="L195" s="5"/>
      <c r="M195" s="7" t="str">
        <f>IFERROR(VLOOKUP(H195,#REF!,2,FALSE),"-")</f>
        <v>-</v>
      </c>
      <c r="N195" s="7" t="str">
        <f>LEFT(I195,1)</f>
        <v>1</v>
      </c>
    </row>
    <row r="196" spans="1:14" ht="24.75" customHeight="1" x14ac:dyDescent="0.35">
      <c r="A196" s="3" t="s">
        <v>11</v>
      </c>
      <c r="B196" s="18" t="s">
        <v>108</v>
      </c>
      <c r="C196" s="2" t="s">
        <v>120</v>
      </c>
      <c r="D196" s="29" t="s">
        <v>122</v>
      </c>
      <c r="E196" s="30" t="s">
        <v>31</v>
      </c>
      <c r="F196" s="3" t="s">
        <v>32</v>
      </c>
      <c r="G196" s="33" t="s">
        <v>33</v>
      </c>
      <c r="H196" s="2" t="s">
        <v>111</v>
      </c>
      <c r="I196" s="35" t="s">
        <v>112</v>
      </c>
      <c r="J196" s="10"/>
      <c r="K196" s="15"/>
      <c r="L196" s="5"/>
      <c r="M196" s="7" t="str">
        <f>IFERROR(VLOOKUP(H196,#REF!,2,FALSE),"-")</f>
        <v>-</v>
      </c>
      <c r="N196" s="7" t="str">
        <f>LEFT(I196,1)</f>
        <v>1</v>
      </c>
    </row>
    <row r="197" spans="1:14" ht="24.75" customHeight="1" x14ac:dyDescent="0.35">
      <c r="A197" s="3" t="s">
        <v>11</v>
      </c>
      <c r="B197" s="18" t="s">
        <v>151</v>
      </c>
      <c r="C197" s="2" t="s">
        <v>77</v>
      </c>
      <c r="D197" s="29" t="s">
        <v>110</v>
      </c>
      <c r="E197" s="30" t="s">
        <v>37</v>
      </c>
      <c r="F197" s="3" t="s">
        <v>38</v>
      </c>
      <c r="G197" s="33" t="s">
        <v>39</v>
      </c>
      <c r="H197" s="2" t="s">
        <v>152</v>
      </c>
      <c r="I197" s="35" t="s">
        <v>19</v>
      </c>
      <c r="J197" s="10" t="s">
        <v>20</v>
      </c>
      <c r="K197" s="2" t="s">
        <v>113</v>
      </c>
      <c r="L197" s="5"/>
      <c r="M197" s="7" t="str">
        <f>IFERROR(VLOOKUP(H197,#REF!,2,FALSE),"-")</f>
        <v>-</v>
      </c>
    </row>
    <row r="198" spans="1:14" ht="24.75" customHeight="1" x14ac:dyDescent="0.35">
      <c r="A198" s="3" t="s">
        <v>11</v>
      </c>
      <c r="B198" s="18" t="s">
        <v>151</v>
      </c>
      <c r="C198" s="2" t="s">
        <v>153</v>
      </c>
      <c r="D198" s="29" t="s">
        <v>154</v>
      </c>
      <c r="E198" s="30" t="s">
        <v>44</v>
      </c>
      <c r="F198" s="3" t="s">
        <v>32</v>
      </c>
      <c r="G198" s="33" t="s">
        <v>33</v>
      </c>
      <c r="H198" s="2" t="s">
        <v>152</v>
      </c>
      <c r="I198" s="35" t="s">
        <v>19</v>
      </c>
      <c r="J198" s="10" t="s">
        <v>20</v>
      </c>
      <c r="K198" s="2" t="s">
        <v>65</v>
      </c>
      <c r="L198" s="5"/>
      <c r="M198" s="7" t="str">
        <f>IFERROR(VLOOKUP(H198,#REF!,2,FALSE),"-")</f>
        <v>-</v>
      </c>
    </row>
    <row r="199" spans="1:14" ht="24.75" customHeight="1" x14ac:dyDescent="0.35">
      <c r="A199" s="3" t="s">
        <v>11</v>
      </c>
      <c r="B199" s="18" t="s">
        <v>151</v>
      </c>
      <c r="C199" s="2" t="s">
        <v>153</v>
      </c>
      <c r="D199" s="29" t="s">
        <v>155</v>
      </c>
      <c r="E199" s="30" t="s">
        <v>31</v>
      </c>
      <c r="F199" s="3" t="s">
        <v>32</v>
      </c>
      <c r="G199" s="33" t="s">
        <v>33</v>
      </c>
      <c r="H199" s="2" t="s">
        <v>152</v>
      </c>
      <c r="I199" s="35" t="s">
        <v>19</v>
      </c>
      <c r="J199" s="10"/>
      <c r="K199" s="15"/>
      <c r="L199" s="5"/>
      <c r="M199" s="7" t="str">
        <f>IFERROR(VLOOKUP(H199,#REF!,2,FALSE),"-")</f>
        <v>-</v>
      </c>
    </row>
    <row r="200" spans="1:14" ht="24.75" customHeight="1" x14ac:dyDescent="0.35">
      <c r="A200" s="3" t="s">
        <v>11</v>
      </c>
      <c r="B200" s="18" t="s">
        <v>151</v>
      </c>
      <c r="C200" s="2" t="s">
        <v>142</v>
      </c>
      <c r="D200" s="29" t="s">
        <v>156</v>
      </c>
      <c r="E200" s="30" t="s">
        <v>31</v>
      </c>
      <c r="F200" s="3" t="s">
        <v>32</v>
      </c>
      <c r="G200" s="33" t="s">
        <v>33</v>
      </c>
      <c r="H200" s="2" t="s">
        <v>152</v>
      </c>
      <c r="I200" s="35" t="s">
        <v>19</v>
      </c>
      <c r="J200" s="10" t="s">
        <v>20</v>
      </c>
      <c r="K200" s="2" t="s">
        <v>65</v>
      </c>
      <c r="L200" s="5"/>
      <c r="M200" s="7" t="str">
        <f>IFERROR(VLOOKUP(H200,#REF!,2,FALSE),"-")</f>
        <v>-</v>
      </c>
    </row>
    <row r="201" spans="1:14" ht="24.75" customHeight="1" x14ac:dyDescent="0.35">
      <c r="A201" s="3" t="s">
        <v>11</v>
      </c>
      <c r="B201" s="18" t="s">
        <v>265</v>
      </c>
      <c r="C201" s="2" t="s">
        <v>59</v>
      </c>
      <c r="D201" s="29" t="s">
        <v>266</v>
      </c>
      <c r="E201" s="30" t="s">
        <v>31</v>
      </c>
      <c r="F201" s="3" t="s">
        <v>32</v>
      </c>
      <c r="G201" s="33" t="s">
        <v>33</v>
      </c>
      <c r="H201" s="2" t="s">
        <v>267</v>
      </c>
      <c r="I201" s="35" t="s">
        <v>19</v>
      </c>
      <c r="J201" s="10" t="s">
        <v>20</v>
      </c>
      <c r="K201" s="2" t="s">
        <v>27</v>
      </c>
      <c r="L201" s="5"/>
      <c r="M201" s="7" t="str">
        <f>IFERROR(VLOOKUP(H201,#REF!,2,FALSE),"-")</f>
        <v>-</v>
      </c>
    </row>
    <row r="202" spans="1:14" ht="24.75" customHeight="1" x14ac:dyDescent="0.35">
      <c r="A202" s="3" t="s">
        <v>11</v>
      </c>
      <c r="B202" s="18" t="s">
        <v>265</v>
      </c>
      <c r="C202" s="2" t="s">
        <v>59</v>
      </c>
      <c r="D202" s="29" t="s">
        <v>268</v>
      </c>
      <c r="E202" s="30" t="s">
        <v>31</v>
      </c>
      <c r="F202" s="3" t="s">
        <v>32</v>
      </c>
      <c r="G202" s="33" t="s">
        <v>33</v>
      </c>
      <c r="H202" s="2" t="s">
        <v>267</v>
      </c>
      <c r="I202" s="35" t="s">
        <v>19</v>
      </c>
      <c r="J202" s="10"/>
      <c r="K202" s="15"/>
      <c r="L202" s="5"/>
      <c r="M202" s="7" t="str">
        <f>IFERROR(VLOOKUP(H202,#REF!,2,FALSE),"-")</f>
        <v>-</v>
      </c>
    </row>
    <row r="203" spans="1:14" ht="24.75" customHeight="1" x14ac:dyDescent="0.35">
      <c r="A203" s="3" t="s">
        <v>11</v>
      </c>
      <c r="B203" s="18" t="s">
        <v>265</v>
      </c>
      <c r="C203" s="2" t="s">
        <v>79</v>
      </c>
      <c r="D203" s="29" t="s">
        <v>269</v>
      </c>
      <c r="E203" s="30" t="s">
        <v>31</v>
      </c>
      <c r="F203" s="3" t="s">
        <v>32</v>
      </c>
      <c r="G203" s="33" t="s">
        <v>33</v>
      </c>
      <c r="H203" s="2" t="s">
        <v>267</v>
      </c>
      <c r="I203" s="35" t="s">
        <v>19</v>
      </c>
      <c r="J203" s="10" t="s">
        <v>20</v>
      </c>
      <c r="K203" s="15" t="s">
        <v>190</v>
      </c>
      <c r="L203" s="5"/>
      <c r="M203" s="7" t="str">
        <f>IFERROR(VLOOKUP(H203,#REF!,2,FALSE),"-")</f>
        <v>-</v>
      </c>
    </row>
    <row r="204" spans="1:14" ht="24.75" customHeight="1" x14ac:dyDescent="0.35">
      <c r="A204" s="3" t="s">
        <v>11</v>
      </c>
      <c r="B204" s="18" t="s">
        <v>265</v>
      </c>
      <c r="C204" s="2" t="s">
        <v>47</v>
      </c>
      <c r="D204" s="29" t="s">
        <v>270</v>
      </c>
      <c r="E204" s="30" t="s">
        <v>195</v>
      </c>
      <c r="F204" s="3" t="s">
        <v>38</v>
      </c>
      <c r="G204" s="33" t="s">
        <v>196</v>
      </c>
      <c r="H204" s="2" t="s">
        <v>267</v>
      </c>
      <c r="I204" s="35" t="s">
        <v>19</v>
      </c>
      <c r="J204" s="10" t="s">
        <v>20</v>
      </c>
      <c r="K204" s="15" t="s">
        <v>21</v>
      </c>
      <c r="L204" s="5"/>
      <c r="M204" s="7" t="str">
        <f>IFERROR(VLOOKUP(H204,#REF!,2,FALSE),"-")</f>
        <v>-</v>
      </c>
    </row>
    <row r="205" spans="1:14" ht="24.75" customHeight="1" x14ac:dyDescent="0.35">
      <c r="A205" s="3" t="s">
        <v>11</v>
      </c>
      <c r="B205" s="18" t="s">
        <v>141</v>
      </c>
      <c r="C205" s="2" t="s">
        <v>142</v>
      </c>
      <c r="D205" s="29" t="s">
        <v>143</v>
      </c>
      <c r="E205" s="30" t="s">
        <v>44</v>
      </c>
      <c r="F205" s="3" t="s">
        <v>32</v>
      </c>
      <c r="G205" s="33" t="s">
        <v>33</v>
      </c>
      <c r="H205" s="2" t="s">
        <v>144</v>
      </c>
      <c r="I205" s="35" t="s">
        <v>19</v>
      </c>
      <c r="J205" s="10" t="s">
        <v>20</v>
      </c>
      <c r="K205" s="2" t="s">
        <v>94</v>
      </c>
      <c r="L205" s="5"/>
      <c r="M205" s="7" t="str">
        <f>IFERROR(VLOOKUP(H205,#REF!,2,FALSE),"-")</f>
        <v>-</v>
      </c>
    </row>
    <row r="206" spans="1:14" ht="24.75" customHeight="1" x14ac:dyDescent="0.35">
      <c r="A206" s="3" t="s">
        <v>11</v>
      </c>
      <c r="B206" s="18" t="s">
        <v>141</v>
      </c>
      <c r="C206" s="2" t="s">
        <v>142</v>
      </c>
      <c r="D206" s="29" t="s">
        <v>145</v>
      </c>
      <c r="E206" s="30" t="s">
        <v>31</v>
      </c>
      <c r="F206" s="3" t="s">
        <v>32</v>
      </c>
      <c r="G206" s="33" t="s">
        <v>33</v>
      </c>
      <c r="H206" s="2" t="s">
        <v>144</v>
      </c>
      <c r="I206" s="35" t="s">
        <v>19</v>
      </c>
      <c r="J206" s="10"/>
      <c r="K206" s="15"/>
      <c r="L206" s="5"/>
      <c r="M206" s="7" t="str">
        <f>IFERROR(VLOOKUP(H206,#REF!,2,FALSE),"-")</f>
        <v>-</v>
      </c>
    </row>
    <row r="207" spans="1:14" ht="24.75" customHeight="1" x14ac:dyDescent="0.35">
      <c r="A207" s="3" t="s">
        <v>11</v>
      </c>
      <c r="B207" s="18" t="s">
        <v>141</v>
      </c>
      <c r="C207" s="2" t="s">
        <v>87</v>
      </c>
      <c r="D207" s="29" t="s">
        <v>138</v>
      </c>
      <c r="E207" s="30" t="s">
        <v>37</v>
      </c>
      <c r="F207" s="3" t="s">
        <v>38</v>
      </c>
      <c r="G207" s="33" t="s">
        <v>39</v>
      </c>
      <c r="H207" s="2" t="s">
        <v>144</v>
      </c>
      <c r="I207" s="35" t="s">
        <v>19</v>
      </c>
      <c r="J207" s="10" t="s">
        <v>20</v>
      </c>
      <c r="K207" s="15" t="s">
        <v>113</v>
      </c>
      <c r="L207" s="5"/>
      <c r="M207" s="7" t="str">
        <f>IFERROR(VLOOKUP(H207,#REF!,2,FALSE),"-")</f>
        <v>-</v>
      </c>
    </row>
    <row r="208" spans="1:14" ht="24.75" customHeight="1" x14ac:dyDescent="0.35">
      <c r="A208" s="3" t="s">
        <v>11</v>
      </c>
      <c r="B208" s="18" t="s">
        <v>141</v>
      </c>
      <c r="C208" s="2" t="s">
        <v>87</v>
      </c>
      <c r="D208" s="29" t="s">
        <v>146</v>
      </c>
      <c r="E208" s="30" t="s">
        <v>31</v>
      </c>
      <c r="F208" s="3" t="s">
        <v>32</v>
      </c>
      <c r="G208" s="33" t="s">
        <v>33</v>
      </c>
      <c r="H208" s="2" t="s">
        <v>144</v>
      </c>
      <c r="I208" s="35" t="s">
        <v>19</v>
      </c>
      <c r="J208" s="10"/>
      <c r="K208" s="15"/>
      <c r="L208" s="5"/>
      <c r="M208" s="7" t="str">
        <f>IFERROR(VLOOKUP(H208,#REF!,2,FALSE),"-")</f>
        <v>-</v>
      </c>
    </row>
    <row r="209" spans="1:13" ht="24.75" customHeight="1" x14ac:dyDescent="0.35">
      <c r="A209" s="3" t="s">
        <v>11</v>
      </c>
      <c r="B209" s="18" t="s">
        <v>141</v>
      </c>
      <c r="C209" s="2" t="s">
        <v>41</v>
      </c>
      <c r="D209" s="29" t="s">
        <v>147</v>
      </c>
      <c r="E209" s="30" t="s">
        <v>148</v>
      </c>
      <c r="F209" s="3" t="s">
        <v>32</v>
      </c>
      <c r="G209" s="33" t="s">
        <v>33</v>
      </c>
      <c r="H209" s="2" t="s">
        <v>144</v>
      </c>
      <c r="I209" s="35" t="s">
        <v>19</v>
      </c>
      <c r="J209" s="10" t="s">
        <v>20</v>
      </c>
      <c r="K209" s="2" t="s">
        <v>27</v>
      </c>
      <c r="L209" s="5"/>
      <c r="M209" s="7" t="str">
        <f>IFERROR(VLOOKUP(H209,#REF!,2,FALSE),"-")</f>
        <v>-</v>
      </c>
    </row>
    <row r="210" spans="1:13" ht="24.75" customHeight="1" x14ac:dyDescent="0.35">
      <c r="A210" s="3" t="s">
        <v>11</v>
      </c>
      <c r="B210" s="18" t="s">
        <v>141</v>
      </c>
      <c r="C210" s="2" t="s">
        <v>41</v>
      </c>
      <c r="D210" s="29" t="s">
        <v>149</v>
      </c>
      <c r="E210" s="30" t="s">
        <v>31</v>
      </c>
      <c r="F210" s="3" t="s">
        <v>32</v>
      </c>
      <c r="G210" s="33" t="s">
        <v>33</v>
      </c>
      <c r="H210" s="2" t="s">
        <v>144</v>
      </c>
      <c r="I210" s="35" t="s">
        <v>19</v>
      </c>
      <c r="J210" s="10"/>
      <c r="K210" s="2"/>
      <c r="L210" s="5"/>
      <c r="M210" s="7" t="str">
        <f>IFERROR(VLOOKUP(H210,#REF!,2,FALSE),"-")</f>
        <v>-</v>
      </c>
    </row>
    <row r="211" spans="1:13" ht="24.75" customHeight="1" x14ac:dyDescent="0.35">
      <c r="A211" s="3" t="s">
        <v>11</v>
      </c>
      <c r="B211" s="18" t="s">
        <v>141</v>
      </c>
      <c r="C211" s="2" t="s">
        <v>41</v>
      </c>
      <c r="D211" s="29" t="s">
        <v>150</v>
      </c>
      <c r="E211" s="30" t="s">
        <v>31</v>
      </c>
      <c r="F211" s="3" t="s">
        <v>32</v>
      </c>
      <c r="G211" s="33" t="s">
        <v>33</v>
      </c>
      <c r="H211" s="2" t="s">
        <v>144</v>
      </c>
      <c r="I211" s="35" t="s">
        <v>19</v>
      </c>
      <c r="J211" s="10"/>
      <c r="K211" s="2"/>
      <c r="L211" s="5"/>
      <c r="M211" s="7" t="str">
        <f>IFERROR(VLOOKUP(H211,#REF!,2,FALSE),"-")</f>
        <v>-</v>
      </c>
    </row>
    <row r="212" spans="1:13" ht="24.75" customHeight="1" x14ac:dyDescent="0.35">
      <c r="A212" s="3" t="s">
        <v>302</v>
      </c>
      <c r="B212" s="18" t="s">
        <v>512</v>
      </c>
      <c r="C212" s="2" t="s">
        <v>513</v>
      </c>
      <c r="D212" s="29" t="s">
        <v>514</v>
      </c>
      <c r="E212" s="30" t="s">
        <v>31</v>
      </c>
      <c r="F212" s="3" t="s">
        <v>32</v>
      </c>
      <c r="G212" s="33" t="s">
        <v>33</v>
      </c>
      <c r="H212" s="2" t="s">
        <v>515</v>
      </c>
      <c r="I212" s="35" t="s">
        <v>19</v>
      </c>
      <c r="J212" s="10" t="s">
        <v>20</v>
      </c>
      <c r="K212" s="2" t="s">
        <v>516</v>
      </c>
      <c r="L212" s="2" t="s">
        <v>517</v>
      </c>
      <c r="M212" s="7" t="str">
        <f>IFERROR(VLOOKUP(H212,#REF!,2,FALSE),"-")</f>
        <v>-</v>
      </c>
    </row>
    <row r="213" spans="1:13" ht="24.75" customHeight="1" x14ac:dyDescent="0.35">
      <c r="A213" s="3" t="s">
        <v>302</v>
      </c>
      <c r="B213" s="18" t="s">
        <v>512</v>
      </c>
      <c r="C213" s="2" t="s">
        <v>518</v>
      </c>
      <c r="D213" s="29" t="s">
        <v>519</v>
      </c>
      <c r="E213" s="30" t="s">
        <v>31</v>
      </c>
      <c r="F213" s="3" t="s">
        <v>32</v>
      </c>
      <c r="G213" s="33" t="s">
        <v>33</v>
      </c>
      <c r="H213" s="2" t="s">
        <v>515</v>
      </c>
      <c r="I213" s="35" t="s">
        <v>19</v>
      </c>
      <c r="J213" s="10" t="s">
        <v>20</v>
      </c>
      <c r="K213" s="2" t="s">
        <v>516</v>
      </c>
      <c r="L213" s="2" t="s">
        <v>520</v>
      </c>
      <c r="M213" s="7" t="str">
        <f>IFERROR(VLOOKUP(H213,#REF!,2,FALSE),"-")</f>
        <v>-</v>
      </c>
    </row>
    <row r="214" spans="1:13" ht="24.75" customHeight="1" x14ac:dyDescent="0.35">
      <c r="A214" s="3" t="s">
        <v>302</v>
      </c>
      <c r="B214" s="18" t="s">
        <v>512</v>
      </c>
      <c r="C214" s="2" t="s">
        <v>521</v>
      </c>
      <c r="D214" s="29" t="s">
        <v>522</v>
      </c>
      <c r="E214" s="30" t="s">
        <v>31</v>
      </c>
      <c r="F214" s="3" t="s">
        <v>32</v>
      </c>
      <c r="G214" s="33" t="s">
        <v>33</v>
      </c>
      <c r="H214" s="2" t="s">
        <v>515</v>
      </c>
      <c r="I214" s="35" t="s">
        <v>19</v>
      </c>
      <c r="J214" s="10" t="s">
        <v>20</v>
      </c>
      <c r="K214" s="2" t="s">
        <v>319</v>
      </c>
      <c r="L214" s="2" t="s">
        <v>523</v>
      </c>
      <c r="M214" s="7" t="str">
        <f>IFERROR(VLOOKUP(H214,#REF!,2,FALSE),"-")</f>
        <v>-</v>
      </c>
    </row>
    <row r="215" spans="1:13" ht="24.75" customHeight="1" x14ac:dyDescent="0.35">
      <c r="A215" s="3" t="s">
        <v>302</v>
      </c>
      <c r="B215" s="18" t="s">
        <v>512</v>
      </c>
      <c r="C215" s="2" t="s">
        <v>66</v>
      </c>
      <c r="D215" s="29" t="s">
        <v>524</v>
      </c>
      <c r="E215" s="30" t="s">
        <v>31</v>
      </c>
      <c r="F215" s="3" t="s">
        <v>32</v>
      </c>
      <c r="G215" s="33" t="s">
        <v>33</v>
      </c>
      <c r="H215" s="2" t="s">
        <v>515</v>
      </c>
      <c r="I215" s="35" t="s">
        <v>19</v>
      </c>
      <c r="J215" s="10" t="s">
        <v>20</v>
      </c>
      <c r="K215" s="2" t="s">
        <v>516</v>
      </c>
      <c r="L215" s="2" t="s">
        <v>525</v>
      </c>
      <c r="M215" s="7" t="str">
        <f>IFERROR(VLOOKUP(H215,#REF!,2,FALSE),"-")</f>
        <v>-</v>
      </c>
    </row>
    <row r="216" spans="1:13" ht="24.75" customHeight="1" x14ac:dyDescent="0.35">
      <c r="A216" s="3" t="s">
        <v>11</v>
      </c>
      <c r="B216" s="18" t="s">
        <v>12</v>
      </c>
      <c r="C216" s="2" t="s">
        <v>13</v>
      </c>
      <c r="D216" s="29" t="s">
        <v>14</v>
      </c>
      <c r="E216" s="30" t="s">
        <v>15</v>
      </c>
      <c r="F216" s="3" t="s">
        <v>16</v>
      </c>
      <c r="G216" s="33" t="s">
        <v>17</v>
      </c>
      <c r="H216" s="2" t="s">
        <v>18</v>
      </c>
      <c r="I216" s="35" t="s">
        <v>19</v>
      </c>
      <c r="J216" s="10" t="s">
        <v>20</v>
      </c>
      <c r="K216" s="2" t="s">
        <v>21</v>
      </c>
      <c r="L216" s="5"/>
      <c r="M216" s="7" t="str">
        <f>IFERROR(VLOOKUP(H216,#REF!,2,FALSE),"-")</f>
        <v>-</v>
      </c>
    </row>
    <row r="217" spans="1:13" ht="24.75" customHeight="1" x14ac:dyDescent="0.35">
      <c r="A217" s="3" t="s">
        <v>11</v>
      </c>
      <c r="B217" s="18" t="s">
        <v>12</v>
      </c>
      <c r="C217" s="2" t="s">
        <v>22</v>
      </c>
      <c r="D217" s="29" t="s">
        <v>23</v>
      </c>
      <c r="E217" s="30" t="s">
        <v>15</v>
      </c>
      <c r="F217" s="3" t="s">
        <v>16</v>
      </c>
      <c r="G217" s="33" t="s">
        <v>17</v>
      </c>
      <c r="H217" s="2" t="s">
        <v>18</v>
      </c>
      <c r="I217" s="35" t="s">
        <v>19</v>
      </c>
      <c r="J217" s="10"/>
      <c r="K217" s="2"/>
      <c r="L217" s="5"/>
      <c r="M217" s="7" t="str">
        <f>IFERROR(VLOOKUP(H217,#REF!,2,FALSE),"-")</f>
        <v>-</v>
      </c>
    </row>
    <row r="218" spans="1:13" ht="24.75" customHeight="1" x14ac:dyDescent="0.35">
      <c r="A218" s="3" t="s">
        <v>11</v>
      </c>
      <c r="B218" s="18" t="s">
        <v>12</v>
      </c>
      <c r="C218" s="2" t="s">
        <v>91</v>
      </c>
      <c r="D218" s="29" t="s">
        <v>101</v>
      </c>
      <c r="E218" s="30" t="s">
        <v>37</v>
      </c>
      <c r="F218" s="3" t="s">
        <v>38</v>
      </c>
      <c r="G218" s="33" t="s">
        <v>39</v>
      </c>
      <c r="H218" s="2" t="s">
        <v>18</v>
      </c>
      <c r="I218" s="35" t="s">
        <v>19</v>
      </c>
      <c r="J218" s="10" t="s">
        <v>20</v>
      </c>
      <c r="K218" s="2" t="s">
        <v>21</v>
      </c>
      <c r="L218" s="5"/>
      <c r="M218" s="7" t="str">
        <f>IFERROR(VLOOKUP(H218,#REF!,2,FALSE),"-")</f>
        <v>-</v>
      </c>
    </row>
    <row r="219" spans="1:13" ht="24.75" customHeight="1" x14ac:dyDescent="0.35">
      <c r="A219" s="3" t="s">
        <v>11</v>
      </c>
      <c r="B219" s="18" t="s">
        <v>12</v>
      </c>
      <c r="C219" s="2" t="s">
        <v>22</v>
      </c>
      <c r="D219" s="29" t="s">
        <v>123</v>
      </c>
      <c r="E219" s="30" t="s">
        <v>31</v>
      </c>
      <c r="F219" s="3" t="s">
        <v>32</v>
      </c>
      <c r="G219" s="33" t="s">
        <v>33</v>
      </c>
      <c r="H219" s="2" t="s">
        <v>18</v>
      </c>
      <c r="I219" s="35" t="s">
        <v>19</v>
      </c>
      <c r="J219" s="10" t="s">
        <v>20</v>
      </c>
      <c r="K219" s="2" t="s">
        <v>21</v>
      </c>
      <c r="L219" s="5"/>
      <c r="M219" s="7" t="str">
        <f>IFERROR(VLOOKUP(H219,#REF!,2,FALSE),"-")</f>
        <v>-</v>
      </c>
    </row>
    <row r="220" spans="1:13" ht="24.75" customHeight="1" x14ac:dyDescent="0.35">
      <c r="A220" s="3" t="s">
        <v>302</v>
      </c>
      <c r="B220" s="18" t="s">
        <v>526</v>
      </c>
      <c r="C220" s="2" t="s">
        <v>180</v>
      </c>
      <c r="D220" s="29" t="s">
        <v>527</v>
      </c>
      <c r="E220" s="30" t="s">
        <v>31</v>
      </c>
      <c r="F220" s="3" t="s">
        <v>32</v>
      </c>
      <c r="G220" s="33" t="s">
        <v>33</v>
      </c>
      <c r="H220" s="2" t="s">
        <v>528</v>
      </c>
      <c r="I220" s="35" t="s">
        <v>19</v>
      </c>
      <c r="J220" s="10" t="s">
        <v>20</v>
      </c>
      <c r="K220" s="2" t="s">
        <v>21</v>
      </c>
      <c r="L220" s="2" t="s">
        <v>529</v>
      </c>
      <c r="M220" s="7" t="str">
        <f>IFERROR(VLOOKUP(H220,#REF!,2,FALSE),"-")</f>
        <v>-</v>
      </c>
    </row>
    <row r="221" spans="1:13" ht="24.75" customHeight="1" x14ac:dyDescent="0.35">
      <c r="A221" s="3" t="s">
        <v>302</v>
      </c>
      <c r="B221" s="18" t="s">
        <v>526</v>
      </c>
      <c r="C221" s="2" t="s">
        <v>87</v>
      </c>
      <c r="D221" s="29" t="s">
        <v>530</v>
      </c>
      <c r="E221" s="30" t="s">
        <v>31</v>
      </c>
      <c r="F221" s="3" t="s">
        <v>32</v>
      </c>
      <c r="G221" s="33" t="s">
        <v>33</v>
      </c>
      <c r="H221" s="2" t="s">
        <v>528</v>
      </c>
      <c r="I221" s="35" t="s">
        <v>19</v>
      </c>
      <c r="J221" s="10" t="s">
        <v>20</v>
      </c>
      <c r="K221" s="15" t="s">
        <v>531</v>
      </c>
      <c r="L221" s="2" t="s">
        <v>532</v>
      </c>
      <c r="M221" s="7" t="str">
        <f>IFERROR(VLOOKUP(H221,#REF!,2,FALSE),"-")</f>
        <v>-</v>
      </c>
    </row>
    <row r="222" spans="1:13" ht="24.75" customHeight="1" x14ac:dyDescent="0.35">
      <c r="A222" s="3" t="s">
        <v>302</v>
      </c>
      <c r="B222" s="18" t="s">
        <v>526</v>
      </c>
      <c r="C222" s="2" t="s">
        <v>87</v>
      </c>
      <c r="D222" s="29" t="s">
        <v>533</v>
      </c>
      <c r="E222" s="30" t="s">
        <v>31</v>
      </c>
      <c r="F222" s="3" t="s">
        <v>32</v>
      </c>
      <c r="G222" s="33" t="s">
        <v>33</v>
      </c>
      <c r="H222" s="2" t="s">
        <v>528</v>
      </c>
      <c r="I222" s="35" t="s">
        <v>19</v>
      </c>
      <c r="J222" s="10"/>
      <c r="K222" s="15"/>
      <c r="L222" s="2"/>
      <c r="M222" s="7" t="str">
        <f>IFERROR(VLOOKUP(H222,#REF!,2,FALSE),"-")</f>
        <v>-</v>
      </c>
    </row>
    <row r="223" spans="1:13" ht="24.75" customHeight="1" x14ac:dyDescent="0.35">
      <c r="A223" s="3" t="s">
        <v>302</v>
      </c>
      <c r="B223" s="18" t="s">
        <v>526</v>
      </c>
      <c r="C223" s="2" t="s">
        <v>325</v>
      </c>
      <c r="D223" s="29" t="s">
        <v>534</v>
      </c>
      <c r="E223" s="30" t="s">
        <v>31</v>
      </c>
      <c r="F223" s="3" t="s">
        <v>32</v>
      </c>
      <c r="G223" s="33" t="s">
        <v>33</v>
      </c>
      <c r="H223" s="2" t="s">
        <v>528</v>
      </c>
      <c r="I223" s="35" t="s">
        <v>19</v>
      </c>
      <c r="J223" s="10" t="s">
        <v>20</v>
      </c>
      <c r="K223" s="2" t="s">
        <v>319</v>
      </c>
      <c r="L223" s="2" t="s">
        <v>535</v>
      </c>
      <c r="M223" s="7" t="str">
        <f>IFERROR(VLOOKUP(H223,#REF!,2,FALSE),"-")</f>
        <v>-</v>
      </c>
    </row>
    <row r="224" spans="1:13" ht="24.75" customHeight="1" x14ac:dyDescent="0.35">
      <c r="A224" s="3" t="s">
        <v>302</v>
      </c>
      <c r="B224" s="18" t="s">
        <v>526</v>
      </c>
      <c r="C224" s="2" t="s">
        <v>325</v>
      </c>
      <c r="D224" s="29" t="s">
        <v>536</v>
      </c>
      <c r="E224" s="30" t="s">
        <v>31</v>
      </c>
      <c r="F224" s="3" t="s">
        <v>32</v>
      </c>
      <c r="G224" s="33" t="s">
        <v>33</v>
      </c>
      <c r="H224" s="2" t="s">
        <v>528</v>
      </c>
      <c r="I224" s="35" t="s">
        <v>19</v>
      </c>
      <c r="J224" s="10"/>
      <c r="K224" s="15"/>
      <c r="L224" s="2"/>
      <c r="M224" s="7" t="str">
        <f>IFERROR(VLOOKUP(H224,#REF!,2,FALSE),"-")</f>
        <v>-</v>
      </c>
    </row>
    <row r="225" spans="1:14" ht="24.75" customHeight="1" x14ac:dyDescent="0.35">
      <c r="A225" s="3" t="s">
        <v>302</v>
      </c>
      <c r="B225" s="18" t="s">
        <v>526</v>
      </c>
      <c r="C225" s="2" t="s">
        <v>35</v>
      </c>
      <c r="D225" s="29" t="s">
        <v>537</v>
      </c>
      <c r="E225" s="30" t="s">
        <v>195</v>
      </c>
      <c r="F225" s="3" t="s">
        <v>38</v>
      </c>
      <c r="G225" s="33" t="s">
        <v>196</v>
      </c>
      <c r="H225" s="2" t="s">
        <v>528</v>
      </c>
      <c r="I225" s="35" t="s">
        <v>19</v>
      </c>
      <c r="J225" s="10" t="s">
        <v>20</v>
      </c>
      <c r="K225" s="2" t="s">
        <v>136</v>
      </c>
      <c r="L225" s="2" t="s">
        <v>538</v>
      </c>
      <c r="M225" s="7" t="str">
        <f>IFERROR(VLOOKUP(H225,#REF!,2,FALSE),"-")</f>
        <v>-</v>
      </c>
    </row>
    <row r="226" spans="1:14" ht="24.75" customHeight="1" x14ac:dyDescent="0.35">
      <c r="A226" s="3" t="s">
        <v>302</v>
      </c>
      <c r="B226" s="18" t="s">
        <v>526</v>
      </c>
      <c r="C226" s="2" t="s">
        <v>35</v>
      </c>
      <c r="D226" s="29" t="s">
        <v>539</v>
      </c>
      <c r="E226" s="30" t="s">
        <v>195</v>
      </c>
      <c r="F226" s="3" t="s">
        <v>38</v>
      </c>
      <c r="G226" s="33" t="s">
        <v>196</v>
      </c>
      <c r="H226" s="2" t="s">
        <v>528</v>
      </c>
      <c r="I226" s="35" t="s">
        <v>19</v>
      </c>
      <c r="J226" s="10"/>
      <c r="K226" s="2"/>
      <c r="L226" s="2"/>
      <c r="M226" s="7" t="str">
        <f>IFERROR(VLOOKUP(H226,#REF!,2,FALSE),"-")</f>
        <v>-</v>
      </c>
    </row>
    <row r="227" spans="1:14" ht="24.75" customHeight="1" x14ac:dyDescent="0.35">
      <c r="A227" s="3" t="s">
        <v>11</v>
      </c>
      <c r="B227" s="18" t="s">
        <v>24</v>
      </c>
      <c r="C227" s="2" t="s">
        <v>25</v>
      </c>
      <c r="D227" s="29" t="s">
        <v>14</v>
      </c>
      <c r="E227" s="30" t="s">
        <v>15</v>
      </c>
      <c r="F227" s="3" t="s">
        <v>16</v>
      </c>
      <c r="G227" s="33" t="s">
        <v>17</v>
      </c>
      <c r="H227" s="2" t="s">
        <v>26</v>
      </c>
      <c r="I227" s="35" t="s">
        <v>19</v>
      </c>
      <c r="J227" s="10" t="s">
        <v>20</v>
      </c>
      <c r="K227" s="2" t="s">
        <v>27</v>
      </c>
      <c r="L227" s="5"/>
      <c r="M227" s="7" t="str">
        <f>IFERROR(VLOOKUP(H227,#REF!,2,FALSE),"-")</f>
        <v>-</v>
      </c>
    </row>
    <row r="228" spans="1:14" ht="24.75" customHeight="1" x14ac:dyDescent="0.35">
      <c r="A228" s="3" t="s">
        <v>11</v>
      </c>
      <c r="B228" s="18" t="s">
        <v>24</v>
      </c>
      <c r="C228" s="2" t="s">
        <v>77</v>
      </c>
      <c r="D228" s="29" t="s">
        <v>110</v>
      </c>
      <c r="E228" s="30" t="s">
        <v>37</v>
      </c>
      <c r="F228" s="3" t="s">
        <v>38</v>
      </c>
      <c r="G228" s="33" t="s">
        <v>39</v>
      </c>
      <c r="H228" s="2" t="s">
        <v>26</v>
      </c>
      <c r="I228" s="35" t="s">
        <v>19</v>
      </c>
      <c r="J228" s="10" t="s">
        <v>20</v>
      </c>
      <c r="K228" s="2" t="s">
        <v>65</v>
      </c>
      <c r="L228" s="5"/>
      <c r="M228" s="7" t="str">
        <f>IFERROR(VLOOKUP(H228,#REF!,2,FALSE),"-")</f>
        <v>-</v>
      </c>
    </row>
    <row r="229" spans="1:14" ht="24.75" customHeight="1" x14ac:dyDescent="0.35">
      <c r="A229" s="3" t="s">
        <v>11</v>
      </c>
      <c r="B229" s="18" t="s">
        <v>24</v>
      </c>
      <c r="C229" s="2" t="s">
        <v>87</v>
      </c>
      <c r="D229" s="29" t="s">
        <v>138</v>
      </c>
      <c r="E229" s="30" t="s">
        <v>37</v>
      </c>
      <c r="F229" s="3" t="s">
        <v>38</v>
      </c>
      <c r="G229" s="33" t="s">
        <v>39</v>
      </c>
      <c r="H229" s="2" t="s">
        <v>26</v>
      </c>
      <c r="I229" s="35" t="s">
        <v>19</v>
      </c>
      <c r="J229" s="10" t="s">
        <v>20</v>
      </c>
      <c r="K229" s="15" t="s">
        <v>139</v>
      </c>
      <c r="L229" s="5"/>
      <c r="M229" s="7" t="str">
        <f>IFERROR(VLOOKUP(H229,#REF!,2,FALSE),"-")</f>
        <v>-</v>
      </c>
    </row>
    <row r="230" spans="1:14" ht="24.75" customHeight="1" x14ac:dyDescent="0.35">
      <c r="A230" s="3" t="s">
        <v>11</v>
      </c>
      <c r="B230" s="18" t="s">
        <v>24</v>
      </c>
      <c r="C230" s="2" t="s">
        <v>87</v>
      </c>
      <c r="D230" s="29" t="s">
        <v>140</v>
      </c>
      <c r="E230" s="30" t="s">
        <v>31</v>
      </c>
      <c r="F230" s="3" t="s">
        <v>32</v>
      </c>
      <c r="G230" s="33" t="s">
        <v>33</v>
      </c>
      <c r="H230" s="2" t="s">
        <v>26</v>
      </c>
      <c r="I230" s="35" t="s">
        <v>19</v>
      </c>
      <c r="J230" s="10"/>
      <c r="K230" s="2"/>
      <c r="L230" s="5"/>
      <c r="M230" s="7" t="str">
        <f>IFERROR(VLOOKUP(H230,#REF!,2,FALSE),"-")</f>
        <v>-</v>
      </c>
    </row>
    <row r="231" spans="1:14" ht="24.75" customHeight="1" x14ac:dyDescent="0.35">
      <c r="A231" s="3" t="s">
        <v>302</v>
      </c>
      <c r="B231" s="18" t="s">
        <v>540</v>
      </c>
      <c r="C231" s="2" t="s">
        <v>541</v>
      </c>
      <c r="D231" s="29" t="s">
        <v>542</v>
      </c>
      <c r="E231" s="30" t="s">
        <v>31</v>
      </c>
      <c r="F231" s="3" t="s">
        <v>32</v>
      </c>
      <c r="G231" s="33" t="s">
        <v>33</v>
      </c>
      <c r="H231" s="2" t="s">
        <v>543</v>
      </c>
      <c r="I231" s="35" t="s">
        <v>112</v>
      </c>
      <c r="J231" s="10" t="s">
        <v>20</v>
      </c>
      <c r="K231" s="15" t="s">
        <v>544</v>
      </c>
      <c r="L231" s="2" t="s">
        <v>545</v>
      </c>
      <c r="M231" s="7" t="str">
        <f>IFERROR(VLOOKUP(H231,#REF!,2,FALSE),"-")</f>
        <v>-</v>
      </c>
      <c r="N231" s="7" t="str">
        <f t="shared" ref="N231:N242" si="6">LEFT(I231,1)</f>
        <v>1</v>
      </c>
    </row>
    <row r="232" spans="1:14" ht="24.75" customHeight="1" x14ac:dyDescent="0.35">
      <c r="A232" s="3" t="s">
        <v>302</v>
      </c>
      <c r="B232" s="18" t="s">
        <v>540</v>
      </c>
      <c r="C232" s="2" t="s">
        <v>541</v>
      </c>
      <c r="D232" s="29" t="s">
        <v>546</v>
      </c>
      <c r="E232" s="30" t="s">
        <v>31</v>
      </c>
      <c r="F232" s="3" t="s">
        <v>32</v>
      </c>
      <c r="G232" s="33" t="s">
        <v>33</v>
      </c>
      <c r="H232" s="2" t="s">
        <v>543</v>
      </c>
      <c r="I232" s="35" t="s">
        <v>112</v>
      </c>
      <c r="J232" s="10"/>
      <c r="K232" s="2"/>
      <c r="L232" s="2"/>
      <c r="M232" s="7" t="str">
        <f>IFERROR(VLOOKUP(H232,#REF!,2,FALSE),"-")</f>
        <v>-</v>
      </c>
      <c r="N232" s="7" t="str">
        <f t="shared" si="6"/>
        <v>1</v>
      </c>
    </row>
    <row r="233" spans="1:14" ht="24.75" customHeight="1" x14ac:dyDescent="0.35">
      <c r="A233" s="3" t="s">
        <v>302</v>
      </c>
      <c r="B233" s="18" t="s">
        <v>540</v>
      </c>
      <c r="C233" s="2" t="s">
        <v>541</v>
      </c>
      <c r="D233" s="29" t="s">
        <v>547</v>
      </c>
      <c r="E233" s="30" t="s">
        <v>31</v>
      </c>
      <c r="F233" s="3" t="s">
        <v>32</v>
      </c>
      <c r="G233" s="33" t="s">
        <v>33</v>
      </c>
      <c r="H233" s="2" t="s">
        <v>543</v>
      </c>
      <c r="I233" s="35" t="s">
        <v>112</v>
      </c>
      <c r="J233" s="10"/>
      <c r="K233" s="2"/>
      <c r="L233" s="2"/>
      <c r="M233" s="7" t="str">
        <f>IFERROR(VLOOKUP(H233,#REF!,2,FALSE),"-")</f>
        <v>-</v>
      </c>
      <c r="N233" s="7" t="str">
        <f t="shared" si="6"/>
        <v>1</v>
      </c>
    </row>
    <row r="234" spans="1:14" ht="24.75" customHeight="1" x14ac:dyDescent="0.35">
      <c r="A234" s="3" t="s">
        <v>302</v>
      </c>
      <c r="B234" s="18" t="s">
        <v>540</v>
      </c>
      <c r="C234" s="2" t="s">
        <v>59</v>
      </c>
      <c r="D234" s="29" t="s">
        <v>548</v>
      </c>
      <c r="E234" s="30" t="s">
        <v>31</v>
      </c>
      <c r="F234" s="3" t="s">
        <v>32</v>
      </c>
      <c r="G234" s="33" t="s">
        <v>33</v>
      </c>
      <c r="H234" s="2" t="s">
        <v>543</v>
      </c>
      <c r="I234" s="35" t="s">
        <v>112</v>
      </c>
      <c r="J234" s="10" t="s">
        <v>20</v>
      </c>
      <c r="K234" s="2" t="s">
        <v>549</v>
      </c>
      <c r="L234" s="2" t="s">
        <v>550</v>
      </c>
      <c r="M234" s="7" t="str">
        <f>IFERROR(VLOOKUP(H234,#REF!,2,FALSE),"-")</f>
        <v>-</v>
      </c>
      <c r="N234" s="7" t="str">
        <f t="shared" si="6"/>
        <v>1</v>
      </c>
    </row>
    <row r="235" spans="1:14" ht="24.75" customHeight="1" x14ac:dyDescent="0.35">
      <c r="A235" s="3" t="s">
        <v>302</v>
      </c>
      <c r="B235" s="18" t="s">
        <v>540</v>
      </c>
      <c r="C235" s="2" t="s">
        <v>59</v>
      </c>
      <c r="D235" s="29" t="s">
        <v>551</v>
      </c>
      <c r="E235" s="30" t="s">
        <v>31</v>
      </c>
      <c r="F235" s="3" t="s">
        <v>32</v>
      </c>
      <c r="G235" s="33" t="s">
        <v>33</v>
      </c>
      <c r="H235" s="2" t="s">
        <v>543</v>
      </c>
      <c r="I235" s="35" t="s">
        <v>112</v>
      </c>
      <c r="J235" s="10"/>
      <c r="K235" s="2"/>
      <c r="L235" s="2"/>
      <c r="M235" s="7" t="str">
        <f>IFERROR(VLOOKUP(H235,#REF!,2,FALSE),"-")</f>
        <v>-</v>
      </c>
      <c r="N235" s="7" t="str">
        <f t="shared" si="6"/>
        <v>1</v>
      </c>
    </row>
    <row r="236" spans="1:14" ht="24.75" customHeight="1" x14ac:dyDescent="0.35">
      <c r="A236" s="3" t="s">
        <v>302</v>
      </c>
      <c r="B236" s="18" t="s">
        <v>540</v>
      </c>
      <c r="C236" s="2" t="s">
        <v>59</v>
      </c>
      <c r="D236" s="29" t="s">
        <v>552</v>
      </c>
      <c r="E236" s="30" t="s">
        <v>31</v>
      </c>
      <c r="F236" s="3" t="s">
        <v>32</v>
      </c>
      <c r="G236" s="33" t="s">
        <v>33</v>
      </c>
      <c r="H236" s="2" t="s">
        <v>543</v>
      </c>
      <c r="I236" s="35" t="s">
        <v>112</v>
      </c>
      <c r="J236" s="10"/>
      <c r="K236" s="15"/>
      <c r="L236" s="2"/>
      <c r="M236" s="7" t="str">
        <f>IFERROR(VLOOKUP(H236,#REF!,2,FALSE),"-")</f>
        <v>-</v>
      </c>
      <c r="N236" s="7" t="str">
        <f t="shared" si="6"/>
        <v>1</v>
      </c>
    </row>
    <row r="237" spans="1:14" ht="24.75" customHeight="1" x14ac:dyDescent="0.35">
      <c r="A237" s="3" t="s">
        <v>302</v>
      </c>
      <c r="B237" s="18" t="s">
        <v>540</v>
      </c>
      <c r="C237" s="2" t="s">
        <v>218</v>
      </c>
      <c r="D237" s="29" t="s">
        <v>553</v>
      </c>
      <c r="E237" s="30" t="s">
        <v>31</v>
      </c>
      <c r="F237" s="3" t="s">
        <v>32</v>
      </c>
      <c r="G237" s="33" t="s">
        <v>33</v>
      </c>
      <c r="H237" s="2" t="str">
        <f>+H231</f>
        <v>Ignacio Zavala</v>
      </c>
      <c r="I237" s="35" t="s">
        <v>112</v>
      </c>
      <c r="J237" s="10" t="s">
        <v>20</v>
      </c>
      <c r="K237" s="2" t="s">
        <v>65</v>
      </c>
      <c r="L237" s="2" t="s">
        <v>554</v>
      </c>
      <c r="M237" s="7" t="str">
        <f>IFERROR(VLOOKUP(H237,#REF!,2,FALSE),"-")</f>
        <v>-</v>
      </c>
      <c r="N237" s="7" t="str">
        <f t="shared" si="6"/>
        <v>1</v>
      </c>
    </row>
    <row r="238" spans="1:14" ht="24.75" customHeight="1" x14ac:dyDescent="0.35">
      <c r="A238" s="3" t="s">
        <v>302</v>
      </c>
      <c r="B238" s="18" t="s">
        <v>540</v>
      </c>
      <c r="C238" s="2" t="s">
        <v>218</v>
      </c>
      <c r="D238" s="29" t="s">
        <v>555</v>
      </c>
      <c r="E238" s="30" t="s">
        <v>31</v>
      </c>
      <c r="F238" s="3" t="s">
        <v>32</v>
      </c>
      <c r="G238" s="33" t="s">
        <v>33</v>
      </c>
      <c r="H238" s="2" t="str">
        <f>+H232</f>
        <v>Ignacio Zavala</v>
      </c>
      <c r="I238" s="35" t="s">
        <v>112</v>
      </c>
      <c r="J238" s="10"/>
      <c r="K238" s="2"/>
      <c r="L238" s="2"/>
      <c r="M238" s="7" t="str">
        <f>IFERROR(VLOOKUP(H238,#REF!,2,FALSE),"-")</f>
        <v>-</v>
      </c>
      <c r="N238" s="7" t="str">
        <f t="shared" si="6"/>
        <v>1</v>
      </c>
    </row>
    <row r="239" spans="1:14" ht="24.75" customHeight="1" x14ac:dyDescent="0.35">
      <c r="A239" s="3" t="s">
        <v>11</v>
      </c>
      <c r="B239" s="18" t="s">
        <v>183</v>
      </c>
      <c r="C239" s="2" t="s">
        <v>184</v>
      </c>
      <c r="D239" s="29" t="s">
        <v>185</v>
      </c>
      <c r="E239" s="30" t="s">
        <v>54</v>
      </c>
      <c r="F239" s="3" t="s">
        <v>16</v>
      </c>
      <c r="G239" s="33" t="s">
        <v>17</v>
      </c>
      <c r="H239" s="2" t="s">
        <v>186</v>
      </c>
      <c r="I239" s="35" t="s">
        <v>112</v>
      </c>
      <c r="J239" s="10" t="s">
        <v>20</v>
      </c>
      <c r="K239" s="2" t="s">
        <v>27</v>
      </c>
      <c r="L239" s="5"/>
      <c r="M239" s="7" t="str">
        <f>IFERROR(VLOOKUP(H239,#REF!,2,FALSE),"-")</f>
        <v>-</v>
      </c>
      <c r="N239" s="7" t="str">
        <f t="shared" si="6"/>
        <v>1</v>
      </c>
    </row>
    <row r="240" spans="1:14" ht="24.75" customHeight="1" x14ac:dyDescent="0.35">
      <c r="A240" s="3" t="s">
        <v>11</v>
      </c>
      <c r="B240" s="18" t="s">
        <v>183</v>
      </c>
      <c r="C240" s="2" t="s">
        <v>187</v>
      </c>
      <c r="D240" s="29" t="s">
        <v>188</v>
      </c>
      <c r="E240" s="30" t="s">
        <v>148</v>
      </c>
      <c r="F240" s="3" t="s">
        <v>32</v>
      </c>
      <c r="G240" s="33" t="s">
        <v>33</v>
      </c>
      <c r="H240" s="2" t="s">
        <v>186</v>
      </c>
      <c r="I240" s="35" t="s">
        <v>112</v>
      </c>
      <c r="J240" s="10" t="s">
        <v>20</v>
      </c>
      <c r="K240" s="2" t="s">
        <v>27</v>
      </c>
      <c r="L240" s="5"/>
      <c r="M240" s="7" t="str">
        <f>IFERROR(VLOOKUP(H240,#REF!,2,FALSE),"-")</f>
        <v>-</v>
      </c>
      <c r="N240" s="7" t="str">
        <f t="shared" si="6"/>
        <v>1</v>
      </c>
    </row>
    <row r="241" spans="1:14" ht="24.75" customHeight="1" x14ac:dyDescent="0.35">
      <c r="A241" s="3" t="s">
        <v>11</v>
      </c>
      <c r="B241" s="18" t="s">
        <v>183</v>
      </c>
      <c r="C241" s="2" t="s">
        <v>187</v>
      </c>
      <c r="D241" s="29" t="s">
        <v>189</v>
      </c>
      <c r="E241" s="30" t="s">
        <v>31</v>
      </c>
      <c r="F241" s="3" t="s">
        <v>32</v>
      </c>
      <c r="G241" s="33" t="s">
        <v>33</v>
      </c>
      <c r="H241" s="2" t="s">
        <v>186</v>
      </c>
      <c r="I241" s="35" t="s">
        <v>112</v>
      </c>
      <c r="J241" s="10"/>
      <c r="K241" s="15"/>
      <c r="L241" s="5"/>
      <c r="M241" s="7" t="str">
        <f>IFERROR(VLOOKUP(H241,#REF!,2,FALSE),"-")</f>
        <v>-</v>
      </c>
      <c r="N241" s="7" t="str">
        <f t="shared" si="6"/>
        <v>1</v>
      </c>
    </row>
    <row r="242" spans="1:14" ht="24.75" customHeight="1" x14ac:dyDescent="0.35">
      <c r="A242" s="3" t="s">
        <v>11</v>
      </c>
      <c r="B242" s="18" t="s">
        <v>183</v>
      </c>
      <c r="C242" s="2" t="s">
        <v>77</v>
      </c>
      <c r="D242" s="29" t="s">
        <v>110</v>
      </c>
      <c r="E242" s="30" t="s">
        <v>37</v>
      </c>
      <c r="F242" s="3" t="s">
        <v>38</v>
      </c>
      <c r="G242" s="33" t="s">
        <v>39</v>
      </c>
      <c r="H242" s="2" t="s">
        <v>186</v>
      </c>
      <c r="I242" s="35" t="s">
        <v>112</v>
      </c>
      <c r="J242" s="10" t="s">
        <v>20</v>
      </c>
      <c r="K242" s="2" t="s">
        <v>190</v>
      </c>
      <c r="L242" s="5"/>
      <c r="M242" s="7" t="str">
        <f>IFERROR(VLOOKUP(H242,#REF!,2,FALSE),"-")</f>
        <v>-</v>
      </c>
      <c r="N242" s="7" t="str">
        <f t="shared" si="6"/>
        <v>1</v>
      </c>
    </row>
    <row r="243" spans="1:14" ht="24.75" customHeight="1" x14ac:dyDescent="0.35">
      <c r="A243" s="3" t="s">
        <v>11</v>
      </c>
      <c r="B243" s="18" t="s">
        <v>51</v>
      </c>
      <c r="C243" s="2" t="s">
        <v>52</v>
      </c>
      <c r="D243" s="29" t="s">
        <v>53</v>
      </c>
      <c r="E243" s="30" t="s">
        <v>54</v>
      </c>
      <c r="F243" s="3" t="s">
        <v>16</v>
      </c>
      <c r="G243" s="33" t="s">
        <v>17</v>
      </c>
      <c r="H243" s="2" t="s">
        <v>55</v>
      </c>
      <c r="I243" s="35" t="s">
        <v>19</v>
      </c>
      <c r="J243" s="10"/>
      <c r="K243" s="15"/>
      <c r="L243" s="5"/>
      <c r="M243" s="7" t="str">
        <f>IFERROR(VLOOKUP(H243,#REF!,2,FALSE),"-")</f>
        <v>-</v>
      </c>
    </row>
    <row r="244" spans="1:14" ht="24.75" customHeight="1" x14ac:dyDescent="0.35">
      <c r="A244" s="3" t="s">
        <v>11</v>
      </c>
      <c r="B244" s="18" t="s">
        <v>51</v>
      </c>
      <c r="C244" s="2" t="s">
        <v>52</v>
      </c>
      <c r="D244" s="29" t="s">
        <v>56</v>
      </c>
      <c r="E244" s="30" t="s">
        <v>54</v>
      </c>
      <c r="F244" s="3" t="s">
        <v>16</v>
      </c>
      <c r="G244" s="33" t="s">
        <v>17</v>
      </c>
      <c r="H244" s="2" t="s">
        <v>55</v>
      </c>
      <c r="I244" s="35" t="s">
        <v>19</v>
      </c>
      <c r="J244" s="10"/>
      <c r="K244" s="2"/>
      <c r="L244" s="5"/>
      <c r="M244" s="7" t="str">
        <f>IFERROR(VLOOKUP(H244,#REF!,2,FALSE),"-")</f>
        <v>-</v>
      </c>
    </row>
    <row r="245" spans="1:14" ht="24.75" customHeight="1" x14ac:dyDescent="0.35">
      <c r="A245" s="3" t="s">
        <v>11</v>
      </c>
      <c r="B245" s="18" t="s">
        <v>51</v>
      </c>
      <c r="C245" s="2" t="s">
        <v>47</v>
      </c>
      <c r="D245" s="29" t="s">
        <v>57</v>
      </c>
      <c r="E245" s="30" t="s">
        <v>54</v>
      </c>
      <c r="F245" s="3" t="s">
        <v>16</v>
      </c>
      <c r="G245" s="33" t="s">
        <v>17</v>
      </c>
      <c r="H245" s="2" t="s">
        <v>55</v>
      </c>
      <c r="I245" s="35" t="s">
        <v>19</v>
      </c>
      <c r="J245" s="10" t="s">
        <v>20</v>
      </c>
      <c r="K245" s="2" t="s">
        <v>58</v>
      </c>
      <c r="L245" s="5"/>
      <c r="M245" s="7" t="str">
        <f>IFERROR(VLOOKUP(H245,#REF!,2,FALSE),"-")</f>
        <v>-</v>
      </c>
    </row>
    <row r="246" spans="1:14" ht="24.75" customHeight="1" x14ac:dyDescent="0.35">
      <c r="A246" s="3" t="s">
        <v>11</v>
      </c>
      <c r="B246" s="18" t="s">
        <v>51</v>
      </c>
      <c r="C246" s="2" t="s">
        <v>52</v>
      </c>
      <c r="D246" s="29" t="s">
        <v>64</v>
      </c>
      <c r="E246" s="30" t="s">
        <v>31</v>
      </c>
      <c r="F246" s="3" t="s">
        <v>32</v>
      </c>
      <c r="G246" s="33" t="s">
        <v>33</v>
      </c>
      <c r="H246" s="2" t="s">
        <v>55</v>
      </c>
      <c r="I246" s="35" t="s">
        <v>19</v>
      </c>
      <c r="J246" s="10" t="s">
        <v>20</v>
      </c>
      <c r="K246" s="2" t="s">
        <v>65</v>
      </c>
      <c r="L246" s="5"/>
      <c r="M246" s="7" t="str">
        <f>IFERROR(VLOOKUP(H246,#REF!,2,FALSE),"-")</f>
        <v>-</v>
      </c>
    </row>
    <row r="247" spans="1:14" ht="24.75" customHeight="1" x14ac:dyDescent="0.35">
      <c r="A247" s="3" t="s">
        <v>11</v>
      </c>
      <c r="B247" s="18" t="s">
        <v>51</v>
      </c>
      <c r="C247" s="2" t="s">
        <v>66</v>
      </c>
      <c r="D247" s="29" t="s">
        <v>67</v>
      </c>
      <c r="E247" s="30" t="s">
        <v>37</v>
      </c>
      <c r="F247" s="3" t="s">
        <v>38</v>
      </c>
      <c r="G247" s="33" t="s">
        <v>39</v>
      </c>
      <c r="H247" s="2" t="s">
        <v>55</v>
      </c>
      <c r="I247" s="35" t="s">
        <v>19</v>
      </c>
      <c r="J247" s="10"/>
      <c r="K247" s="2"/>
      <c r="L247" s="5"/>
      <c r="M247" s="7" t="str">
        <f>IFERROR(VLOOKUP(H247,#REF!,2,FALSE),"-")</f>
        <v>-</v>
      </c>
    </row>
    <row r="248" spans="1:14" ht="24.75" customHeight="1" x14ac:dyDescent="0.35">
      <c r="A248" s="3" t="s">
        <v>11</v>
      </c>
      <c r="B248" s="18" t="s">
        <v>51</v>
      </c>
      <c r="C248" s="2" t="s">
        <v>47</v>
      </c>
      <c r="D248" s="29" t="s">
        <v>68</v>
      </c>
      <c r="E248" s="30" t="s">
        <v>31</v>
      </c>
      <c r="F248" s="3" t="s">
        <v>32</v>
      </c>
      <c r="G248" s="33" t="s">
        <v>33</v>
      </c>
      <c r="H248" s="2" t="s">
        <v>55</v>
      </c>
      <c r="I248" s="35" t="s">
        <v>19</v>
      </c>
      <c r="J248" s="10"/>
      <c r="K248" s="15"/>
      <c r="L248" s="5"/>
      <c r="M248" s="7" t="str">
        <f>IFERROR(VLOOKUP(H248,#REF!,2,FALSE),"-")</f>
        <v>-</v>
      </c>
    </row>
    <row r="249" spans="1:14" ht="24.75" customHeight="1" x14ac:dyDescent="0.35">
      <c r="A249" s="3" t="s">
        <v>11</v>
      </c>
      <c r="B249" s="18" t="s">
        <v>51</v>
      </c>
      <c r="C249" s="2" t="s">
        <v>66</v>
      </c>
      <c r="D249" s="29" t="s">
        <v>69</v>
      </c>
      <c r="E249" s="30" t="s">
        <v>44</v>
      </c>
      <c r="F249" s="3" t="s">
        <v>32</v>
      </c>
      <c r="G249" s="33" t="s">
        <v>33</v>
      </c>
      <c r="H249" s="2" t="s">
        <v>55</v>
      </c>
      <c r="I249" s="35" t="s">
        <v>19</v>
      </c>
      <c r="J249" s="10" t="s">
        <v>20</v>
      </c>
      <c r="K249" s="15" t="s">
        <v>65</v>
      </c>
      <c r="L249" s="5"/>
      <c r="M249" s="7" t="str">
        <f>IFERROR(VLOOKUP(H249,#REF!,2,FALSE),"-")</f>
        <v>-</v>
      </c>
    </row>
    <row r="250" spans="1:14" ht="24.75" customHeight="1" x14ac:dyDescent="0.35">
      <c r="A250" s="3" t="s">
        <v>11</v>
      </c>
      <c r="B250" s="18" t="s">
        <v>51</v>
      </c>
      <c r="C250" s="2" t="s">
        <v>66</v>
      </c>
      <c r="D250" s="29" t="s">
        <v>73</v>
      </c>
      <c r="E250" s="30" t="s">
        <v>31</v>
      </c>
      <c r="F250" s="3" t="s">
        <v>32</v>
      </c>
      <c r="G250" s="33" t="s">
        <v>33</v>
      </c>
      <c r="H250" s="2" t="s">
        <v>55</v>
      </c>
      <c r="I250" s="35" t="s">
        <v>19</v>
      </c>
      <c r="J250" s="10"/>
      <c r="K250" s="2"/>
      <c r="L250" s="5"/>
      <c r="M250" s="7" t="str">
        <f>IFERROR(VLOOKUP(H250,#REF!,2,FALSE),"-")</f>
        <v>-</v>
      </c>
    </row>
    <row r="251" spans="1:14" ht="24.75" customHeight="1" x14ac:dyDescent="0.35">
      <c r="A251" s="3" t="s">
        <v>11</v>
      </c>
      <c r="B251" s="18" t="s">
        <v>28</v>
      </c>
      <c r="C251" s="2" t="s">
        <v>29</v>
      </c>
      <c r="D251" s="29" t="s">
        <v>30</v>
      </c>
      <c r="E251" s="30" t="s">
        <v>31</v>
      </c>
      <c r="F251" s="3" t="s">
        <v>32</v>
      </c>
      <c r="G251" s="33" t="s">
        <v>33</v>
      </c>
      <c r="H251" s="2" t="s">
        <v>34</v>
      </c>
      <c r="I251" s="35" t="s">
        <v>19</v>
      </c>
      <c r="J251" s="10" t="s">
        <v>20</v>
      </c>
      <c r="K251" s="15" t="s">
        <v>21</v>
      </c>
      <c r="L251" s="5"/>
      <c r="M251" s="7" t="str">
        <f>IFERROR(VLOOKUP(H251,#REF!,2,FALSE),"-")</f>
        <v>-</v>
      </c>
    </row>
    <row r="252" spans="1:14" ht="24.75" customHeight="1" x14ac:dyDescent="0.35">
      <c r="A252" s="3" t="s">
        <v>11</v>
      </c>
      <c r="B252" s="18" t="s">
        <v>28</v>
      </c>
      <c r="C252" s="2" t="s">
        <v>35</v>
      </c>
      <c r="D252" s="29" t="s">
        <v>36</v>
      </c>
      <c r="E252" s="30" t="s">
        <v>37</v>
      </c>
      <c r="F252" s="3" t="s">
        <v>38</v>
      </c>
      <c r="G252" s="33" t="s">
        <v>39</v>
      </c>
      <c r="H252" s="2" t="s">
        <v>34</v>
      </c>
      <c r="I252" s="35" t="s">
        <v>19</v>
      </c>
      <c r="J252" s="10" t="s">
        <v>20</v>
      </c>
      <c r="K252" s="15" t="s">
        <v>21</v>
      </c>
      <c r="L252" s="5"/>
      <c r="M252" s="7" t="str">
        <f>IFERROR(VLOOKUP(H252,#REF!,2,FALSE),"-")</f>
        <v>-</v>
      </c>
    </row>
    <row r="253" spans="1:14" ht="24.75" customHeight="1" x14ac:dyDescent="0.35">
      <c r="A253" s="3" t="s">
        <v>11</v>
      </c>
      <c r="B253" s="18" t="s">
        <v>28</v>
      </c>
      <c r="C253" s="2" t="s">
        <v>29</v>
      </c>
      <c r="D253" s="29" t="s">
        <v>40</v>
      </c>
      <c r="E253" s="30" t="s">
        <v>31</v>
      </c>
      <c r="F253" s="3" t="s">
        <v>32</v>
      </c>
      <c r="G253" s="33" t="s">
        <v>33</v>
      </c>
      <c r="H253" s="2" t="s">
        <v>34</v>
      </c>
      <c r="I253" s="35" t="s">
        <v>19</v>
      </c>
      <c r="J253" s="10"/>
      <c r="K253" s="15"/>
      <c r="L253" s="5"/>
      <c r="M253" s="7" t="str">
        <f>IFERROR(VLOOKUP(H253,#REF!,2,FALSE),"-")</f>
        <v>-</v>
      </c>
    </row>
    <row r="254" spans="1:14" ht="24.75" customHeight="1" x14ac:dyDescent="0.35">
      <c r="A254" s="3" t="s">
        <v>11</v>
      </c>
      <c r="B254" s="18" t="s">
        <v>28</v>
      </c>
      <c r="C254" s="2" t="s">
        <v>41</v>
      </c>
      <c r="D254" s="29" t="s">
        <v>42</v>
      </c>
      <c r="E254" s="30" t="s">
        <v>31</v>
      </c>
      <c r="F254" s="3" t="s">
        <v>32</v>
      </c>
      <c r="G254" s="33" t="s">
        <v>33</v>
      </c>
      <c r="H254" s="2" t="s">
        <v>34</v>
      </c>
      <c r="I254" s="35" t="s">
        <v>19</v>
      </c>
      <c r="J254" s="10" t="s">
        <v>20</v>
      </c>
      <c r="K254" s="2" t="s">
        <v>27</v>
      </c>
      <c r="L254" s="5"/>
      <c r="M254" s="7" t="str">
        <f>IFERROR(VLOOKUP(H254,#REF!,2,FALSE),"-")</f>
        <v>-</v>
      </c>
    </row>
    <row r="255" spans="1:14" ht="24.75" customHeight="1" x14ac:dyDescent="0.35">
      <c r="A255" s="3" t="s">
        <v>11</v>
      </c>
      <c r="B255" s="18" t="s">
        <v>28</v>
      </c>
      <c r="C255" s="2" t="s">
        <v>41</v>
      </c>
      <c r="D255" s="29" t="s">
        <v>43</v>
      </c>
      <c r="E255" s="30" t="s">
        <v>44</v>
      </c>
      <c r="F255" s="3" t="s">
        <v>32</v>
      </c>
      <c r="G255" s="33" t="s">
        <v>33</v>
      </c>
      <c r="H255" s="2" t="s">
        <v>34</v>
      </c>
      <c r="I255" s="35" t="s">
        <v>19</v>
      </c>
      <c r="J255" s="10"/>
      <c r="K255" s="15"/>
      <c r="L255" s="5"/>
      <c r="M255" s="7" t="str">
        <f>IFERROR(VLOOKUP(H255,#REF!,2,FALSE),"-")</f>
        <v>-</v>
      </c>
    </row>
    <row r="256" spans="1:14" ht="24.75" customHeight="1" x14ac:dyDescent="0.35">
      <c r="A256" s="3" t="s">
        <v>11</v>
      </c>
      <c r="B256" s="18" t="s">
        <v>28</v>
      </c>
      <c r="C256" s="2" t="s">
        <v>35</v>
      </c>
      <c r="D256" s="29" t="s">
        <v>45</v>
      </c>
      <c r="E256" s="30" t="s">
        <v>31</v>
      </c>
      <c r="F256" s="3" t="s">
        <v>32</v>
      </c>
      <c r="G256" s="33" t="s">
        <v>33</v>
      </c>
      <c r="H256" s="2" t="s">
        <v>34</v>
      </c>
      <c r="I256" s="35" t="s">
        <v>19</v>
      </c>
      <c r="J256" s="10"/>
      <c r="K256" s="2"/>
      <c r="L256" s="5"/>
      <c r="M256" s="7" t="str">
        <f>IFERROR(VLOOKUP(H256,#REF!,2,FALSE),"-")</f>
        <v>-</v>
      </c>
    </row>
    <row r="257" spans="1:14" ht="24.75" customHeight="1" x14ac:dyDescent="0.35">
      <c r="A257" s="3" t="s">
        <v>11</v>
      </c>
      <c r="B257" s="18" t="s">
        <v>28</v>
      </c>
      <c r="C257" s="2" t="s">
        <v>35</v>
      </c>
      <c r="D257" s="29" t="s">
        <v>50</v>
      </c>
      <c r="E257" s="30" t="s">
        <v>31</v>
      </c>
      <c r="F257" s="3" t="s">
        <v>32</v>
      </c>
      <c r="G257" s="33" t="s">
        <v>33</v>
      </c>
      <c r="H257" s="2" t="s">
        <v>34</v>
      </c>
      <c r="I257" s="35" t="s">
        <v>19</v>
      </c>
      <c r="J257" s="10"/>
      <c r="K257" s="15"/>
      <c r="L257" s="5"/>
      <c r="M257" s="7" t="str">
        <f>IFERROR(VLOOKUP(H257,#REF!,2,FALSE),"-")</f>
        <v>-</v>
      </c>
    </row>
    <row r="258" spans="1:14" ht="24.75" customHeight="1" x14ac:dyDescent="0.35">
      <c r="A258" s="3" t="s">
        <v>11</v>
      </c>
      <c r="B258" s="18" t="s">
        <v>28</v>
      </c>
      <c r="C258" s="2" t="s">
        <v>29</v>
      </c>
      <c r="D258" s="29" t="s">
        <v>191</v>
      </c>
      <c r="E258" s="30" t="s">
        <v>31</v>
      </c>
      <c r="F258" s="3" t="s">
        <v>32</v>
      </c>
      <c r="G258" s="33" t="s">
        <v>33</v>
      </c>
      <c r="H258" s="2" t="s">
        <v>34</v>
      </c>
      <c r="I258" s="35" t="s">
        <v>19</v>
      </c>
      <c r="J258" s="10" t="s">
        <v>20</v>
      </c>
      <c r="K258" s="15" t="s">
        <v>21</v>
      </c>
      <c r="L258" s="5"/>
      <c r="M258" s="7" t="str">
        <f>IFERROR(VLOOKUP(H258,#REF!,2,FALSE),"-")</f>
        <v>-</v>
      </c>
    </row>
    <row r="259" spans="1:14" ht="24.75" customHeight="1" x14ac:dyDescent="0.35">
      <c r="A259" s="3" t="s">
        <v>11</v>
      </c>
      <c r="B259" s="18" t="s">
        <v>28</v>
      </c>
      <c r="C259" s="2" t="s">
        <v>29</v>
      </c>
      <c r="D259" s="29" t="s">
        <v>40</v>
      </c>
      <c r="E259" s="30" t="s">
        <v>31</v>
      </c>
      <c r="F259" s="3" t="s">
        <v>32</v>
      </c>
      <c r="G259" s="33" t="s">
        <v>33</v>
      </c>
      <c r="H259" s="2" t="s">
        <v>34</v>
      </c>
      <c r="I259" s="35" t="s">
        <v>19</v>
      </c>
      <c r="J259" s="10"/>
      <c r="K259" s="2"/>
      <c r="L259" s="5"/>
      <c r="M259" s="7" t="str">
        <f>IFERROR(VLOOKUP(H259,#REF!,2,FALSE),"-")</f>
        <v>-</v>
      </c>
    </row>
    <row r="260" spans="1:14" ht="24.75" customHeight="1" x14ac:dyDescent="0.35">
      <c r="A260" s="3" t="s">
        <v>11</v>
      </c>
      <c r="B260" s="18" t="s">
        <v>28</v>
      </c>
      <c r="C260" s="2" t="s">
        <v>41</v>
      </c>
      <c r="D260" s="29" t="s">
        <v>42</v>
      </c>
      <c r="E260" s="30" t="s">
        <v>31</v>
      </c>
      <c r="F260" s="3" t="s">
        <v>32</v>
      </c>
      <c r="G260" s="33" t="s">
        <v>33</v>
      </c>
      <c r="H260" s="2" t="s">
        <v>34</v>
      </c>
      <c r="I260" s="35" t="s">
        <v>19</v>
      </c>
      <c r="J260" s="10" t="s">
        <v>20</v>
      </c>
      <c r="K260" s="15" t="s">
        <v>27</v>
      </c>
      <c r="L260" s="5"/>
      <c r="M260" s="7" t="str">
        <f>IFERROR(VLOOKUP(H260,#REF!,2,FALSE),"-")</f>
        <v>-</v>
      </c>
    </row>
    <row r="261" spans="1:14" ht="24.75" customHeight="1" x14ac:dyDescent="0.35">
      <c r="A261" s="3" t="s">
        <v>11</v>
      </c>
      <c r="B261" s="18" t="s">
        <v>28</v>
      </c>
      <c r="C261" s="2" t="s">
        <v>41</v>
      </c>
      <c r="D261" s="29" t="s">
        <v>43</v>
      </c>
      <c r="E261" s="30" t="s">
        <v>44</v>
      </c>
      <c r="F261" s="3" t="s">
        <v>32</v>
      </c>
      <c r="G261" s="33" t="s">
        <v>33</v>
      </c>
      <c r="H261" s="2" t="s">
        <v>34</v>
      </c>
      <c r="I261" s="35" t="s">
        <v>19</v>
      </c>
      <c r="J261" s="10"/>
      <c r="K261" s="15"/>
      <c r="L261" s="5"/>
      <c r="M261" s="7" t="str">
        <f>IFERROR(VLOOKUP(H261,#REF!,2,FALSE),"-")</f>
        <v>-</v>
      </c>
    </row>
    <row r="262" spans="1:14" ht="24.75" customHeight="1" x14ac:dyDescent="0.35">
      <c r="A262" s="3" t="s">
        <v>11</v>
      </c>
      <c r="B262" s="18" t="s">
        <v>28</v>
      </c>
      <c r="C262" s="2" t="s">
        <v>35</v>
      </c>
      <c r="D262" s="29" t="s">
        <v>36</v>
      </c>
      <c r="E262" s="30" t="s">
        <v>37</v>
      </c>
      <c r="F262" s="3" t="s">
        <v>38</v>
      </c>
      <c r="G262" s="33" t="s">
        <v>39</v>
      </c>
      <c r="H262" s="2" t="s">
        <v>34</v>
      </c>
      <c r="I262" s="35" t="s">
        <v>19</v>
      </c>
      <c r="J262" s="10" t="s">
        <v>20</v>
      </c>
      <c r="K262" s="15" t="s">
        <v>21</v>
      </c>
      <c r="L262" s="5"/>
      <c r="M262" s="7" t="str">
        <f>IFERROR(VLOOKUP(H262,#REF!,2,FALSE),"-")</f>
        <v>-</v>
      </c>
    </row>
    <row r="263" spans="1:14" ht="24.75" customHeight="1" x14ac:dyDescent="0.35">
      <c r="A263" s="3" t="s">
        <v>11</v>
      </c>
      <c r="B263" s="18" t="s">
        <v>28</v>
      </c>
      <c r="C263" s="2" t="s">
        <v>35</v>
      </c>
      <c r="D263" s="29" t="s">
        <v>192</v>
      </c>
      <c r="E263" s="30" t="s">
        <v>44</v>
      </c>
      <c r="F263" s="3" t="s">
        <v>32</v>
      </c>
      <c r="G263" s="33" t="s">
        <v>33</v>
      </c>
      <c r="H263" s="2" t="s">
        <v>34</v>
      </c>
      <c r="I263" s="35" t="s">
        <v>19</v>
      </c>
      <c r="J263" s="10"/>
      <c r="K263" s="15"/>
      <c r="L263" s="5"/>
      <c r="M263" s="7" t="str">
        <f>IFERROR(VLOOKUP(H263,#REF!,2,FALSE),"-")</f>
        <v>-</v>
      </c>
    </row>
    <row r="264" spans="1:14" ht="24.75" customHeight="1" x14ac:dyDescent="0.35">
      <c r="A264" s="3" t="s">
        <v>11</v>
      </c>
      <c r="B264" s="18" t="s">
        <v>28</v>
      </c>
      <c r="C264" s="2" t="s">
        <v>35</v>
      </c>
      <c r="D264" s="29" t="s">
        <v>50</v>
      </c>
      <c r="E264" s="30" t="s">
        <v>44</v>
      </c>
      <c r="F264" s="3" t="s">
        <v>32</v>
      </c>
      <c r="G264" s="33" t="s">
        <v>33</v>
      </c>
      <c r="H264" s="2" t="s">
        <v>34</v>
      </c>
      <c r="I264" s="35" t="s">
        <v>19</v>
      </c>
      <c r="J264" s="10"/>
      <c r="K264" s="2"/>
      <c r="L264" s="5"/>
      <c r="M264" s="7" t="str">
        <f>IFERROR(VLOOKUP(H264,#REF!,2,FALSE),"-")</f>
        <v>-</v>
      </c>
    </row>
    <row r="265" spans="1:14" ht="24.75" customHeight="1" x14ac:dyDescent="0.35">
      <c r="A265" s="3" t="s">
        <v>11</v>
      </c>
      <c r="B265" s="18" t="s">
        <v>173</v>
      </c>
      <c r="C265" s="2" t="s">
        <v>47</v>
      </c>
      <c r="D265" s="29" t="s">
        <v>174</v>
      </c>
      <c r="E265" s="30" t="s">
        <v>31</v>
      </c>
      <c r="F265" s="3" t="s">
        <v>32</v>
      </c>
      <c r="G265" s="33" t="s">
        <v>33</v>
      </c>
      <c r="H265" s="2" t="s">
        <v>175</v>
      </c>
      <c r="I265" s="35" t="s">
        <v>19</v>
      </c>
      <c r="J265" s="10" t="s">
        <v>20</v>
      </c>
      <c r="K265" s="15" t="s">
        <v>94</v>
      </c>
      <c r="L265" s="5"/>
      <c r="M265" s="7" t="str">
        <f>IFERROR(VLOOKUP(H265,#REF!,2,FALSE),"-")</f>
        <v>-</v>
      </c>
      <c r="N265" s="7" t="str">
        <f t="shared" ref="N265:N271" si="7">LEFT(I265,1)</f>
        <v>2</v>
      </c>
    </row>
    <row r="266" spans="1:14" ht="24.75" customHeight="1" x14ac:dyDescent="0.35">
      <c r="A266" s="3" t="s">
        <v>11</v>
      </c>
      <c r="B266" s="18" t="s">
        <v>173</v>
      </c>
      <c r="C266" s="2" t="s">
        <v>47</v>
      </c>
      <c r="D266" s="29" t="s">
        <v>176</v>
      </c>
      <c r="E266" s="30" t="s">
        <v>31</v>
      </c>
      <c r="F266" s="3" t="s">
        <v>32</v>
      </c>
      <c r="G266" s="33" t="s">
        <v>33</v>
      </c>
      <c r="H266" s="2" t="s">
        <v>175</v>
      </c>
      <c r="I266" s="35" t="s">
        <v>19</v>
      </c>
      <c r="J266" s="10"/>
      <c r="K266" s="2"/>
      <c r="L266" s="5"/>
      <c r="M266" s="7" t="str">
        <f>IFERROR(VLOOKUP(H266,#REF!,2,FALSE),"-")</f>
        <v>-</v>
      </c>
      <c r="N266" s="7" t="str">
        <f t="shared" si="7"/>
        <v>2</v>
      </c>
    </row>
    <row r="267" spans="1:14" ht="24.75" customHeight="1" x14ac:dyDescent="0.35">
      <c r="A267" s="3" t="s">
        <v>11</v>
      </c>
      <c r="B267" s="18" t="s">
        <v>173</v>
      </c>
      <c r="C267" s="2" t="s">
        <v>142</v>
      </c>
      <c r="D267" s="29" t="s">
        <v>177</v>
      </c>
      <c r="E267" s="30" t="s">
        <v>148</v>
      </c>
      <c r="F267" s="3" t="s">
        <v>32</v>
      </c>
      <c r="G267" s="33" t="s">
        <v>33</v>
      </c>
      <c r="H267" s="2" t="s">
        <v>175</v>
      </c>
      <c r="I267" s="35" t="s">
        <v>19</v>
      </c>
      <c r="J267" s="10" t="s">
        <v>20</v>
      </c>
      <c r="K267" s="2" t="s">
        <v>58</v>
      </c>
      <c r="L267" s="5"/>
      <c r="M267" s="7" t="str">
        <f>IFERROR(VLOOKUP(H267,#REF!,2,FALSE),"-")</f>
        <v>-</v>
      </c>
      <c r="N267" s="7" t="str">
        <f t="shared" si="7"/>
        <v>2</v>
      </c>
    </row>
    <row r="268" spans="1:14" ht="24.75" customHeight="1" x14ac:dyDescent="0.35">
      <c r="A268" s="3" t="s">
        <v>11</v>
      </c>
      <c r="B268" s="18" t="s">
        <v>173</v>
      </c>
      <c r="C268" s="2" t="s">
        <v>142</v>
      </c>
      <c r="D268" s="29" t="s">
        <v>178</v>
      </c>
      <c r="E268" s="30" t="s">
        <v>31</v>
      </c>
      <c r="F268" s="3" t="s">
        <v>32</v>
      </c>
      <c r="G268" s="33" t="s">
        <v>33</v>
      </c>
      <c r="H268" s="2" t="s">
        <v>175</v>
      </c>
      <c r="I268" s="35" t="s">
        <v>19</v>
      </c>
      <c r="J268" s="10"/>
      <c r="K268" s="2"/>
      <c r="L268" s="5"/>
      <c r="M268" s="7" t="str">
        <f>IFERROR(VLOOKUP(H268,#REF!,2,FALSE),"-")</f>
        <v>-</v>
      </c>
      <c r="N268" s="7" t="str">
        <f t="shared" si="7"/>
        <v>2</v>
      </c>
    </row>
    <row r="269" spans="1:14" ht="24.75" customHeight="1" x14ac:dyDescent="0.35">
      <c r="A269" s="3" t="s">
        <v>11</v>
      </c>
      <c r="B269" s="18" t="s">
        <v>173</v>
      </c>
      <c r="C269" s="2" t="s">
        <v>142</v>
      </c>
      <c r="D269" s="29" t="s">
        <v>179</v>
      </c>
      <c r="E269" s="30" t="s">
        <v>31</v>
      </c>
      <c r="F269" s="3" t="s">
        <v>32</v>
      </c>
      <c r="G269" s="33" t="s">
        <v>33</v>
      </c>
      <c r="H269" s="2" t="s">
        <v>175</v>
      </c>
      <c r="I269" s="35" t="s">
        <v>19</v>
      </c>
      <c r="J269" s="10"/>
      <c r="K269" s="2"/>
      <c r="L269" s="5"/>
      <c r="M269" s="7" t="str">
        <f>IFERROR(VLOOKUP(H269,#REF!,2,FALSE),"-")</f>
        <v>-</v>
      </c>
      <c r="N269" s="7" t="str">
        <f t="shared" si="7"/>
        <v>2</v>
      </c>
    </row>
    <row r="270" spans="1:14" ht="24.75" customHeight="1" x14ac:dyDescent="0.35">
      <c r="A270" s="3" t="s">
        <v>11</v>
      </c>
      <c r="B270" s="18" t="s">
        <v>173</v>
      </c>
      <c r="C270" s="2" t="s">
        <v>180</v>
      </c>
      <c r="D270" s="29" t="s">
        <v>181</v>
      </c>
      <c r="E270" s="30" t="s">
        <v>31</v>
      </c>
      <c r="F270" s="3" t="s">
        <v>32</v>
      </c>
      <c r="G270" s="33" t="s">
        <v>33</v>
      </c>
      <c r="H270" s="2" t="s">
        <v>175</v>
      </c>
      <c r="I270" s="35" t="s">
        <v>19</v>
      </c>
      <c r="J270" s="10" t="s">
        <v>20</v>
      </c>
      <c r="K270" s="2" t="s">
        <v>21</v>
      </c>
      <c r="L270" s="5"/>
      <c r="M270" s="7" t="str">
        <f>IFERROR(VLOOKUP(H270,#REF!,2,FALSE),"-")</f>
        <v>-</v>
      </c>
      <c r="N270" s="7" t="str">
        <f t="shared" si="7"/>
        <v>2</v>
      </c>
    </row>
    <row r="271" spans="1:14" ht="24.75" customHeight="1" x14ac:dyDescent="0.35">
      <c r="A271" s="3" t="s">
        <v>11</v>
      </c>
      <c r="B271" s="18" t="s">
        <v>173</v>
      </c>
      <c r="C271" s="2" t="s">
        <v>180</v>
      </c>
      <c r="D271" s="29" t="s">
        <v>182</v>
      </c>
      <c r="E271" s="30" t="s">
        <v>31</v>
      </c>
      <c r="F271" s="3" t="s">
        <v>32</v>
      </c>
      <c r="G271" s="33" t="s">
        <v>33</v>
      </c>
      <c r="H271" s="2" t="s">
        <v>175</v>
      </c>
      <c r="I271" s="35" t="s">
        <v>19</v>
      </c>
      <c r="J271" s="10"/>
      <c r="K271" s="2"/>
      <c r="L271" s="5"/>
      <c r="M271" s="7" t="str">
        <f>IFERROR(VLOOKUP(H271,#REF!,2,FALSE),"-")</f>
        <v>-</v>
      </c>
      <c r="N271" s="7" t="str">
        <f t="shared" si="7"/>
        <v>2</v>
      </c>
    </row>
    <row r="272" spans="1:14" ht="24.75" customHeight="1" x14ac:dyDescent="0.35">
      <c r="A272" s="3" t="s">
        <v>11</v>
      </c>
      <c r="B272" s="18" t="s">
        <v>282</v>
      </c>
      <c r="C272" s="2" t="s">
        <v>91</v>
      </c>
      <c r="D272" s="29" t="s">
        <v>101</v>
      </c>
      <c r="E272" s="30" t="s">
        <v>37</v>
      </c>
      <c r="F272" s="3" t="s">
        <v>38</v>
      </c>
      <c r="G272" s="33" t="s">
        <v>39</v>
      </c>
      <c r="H272" s="2" t="s">
        <v>283</v>
      </c>
      <c r="I272" s="35" t="s">
        <v>19</v>
      </c>
      <c r="J272" s="10" t="s">
        <v>20</v>
      </c>
      <c r="K272" s="15" t="s">
        <v>284</v>
      </c>
      <c r="L272" s="5"/>
      <c r="M272" s="7" t="str">
        <f>IFERROR(VLOOKUP(H272,#REF!,2,FALSE),"-")</f>
        <v>-</v>
      </c>
    </row>
    <row r="273" spans="1:13" ht="24.75" customHeight="1" x14ac:dyDescent="0.35">
      <c r="A273" s="3" t="s">
        <v>11</v>
      </c>
      <c r="B273" s="18" t="s">
        <v>282</v>
      </c>
      <c r="C273" s="2" t="s">
        <v>91</v>
      </c>
      <c r="D273" s="29" t="s">
        <v>285</v>
      </c>
      <c r="E273" s="30" t="s">
        <v>31</v>
      </c>
      <c r="F273" s="3" t="s">
        <v>32</v>
      </c>
      <c r="G273" s="33" t="s">
        <v>33</v>
      </c>
      <c r="H273" s="2" t="s">
        <v>283</v>
      </c>
      <c r="I273" s="35" t="s">
        <v>19</v>
      </c>
      <c r="J273" s="10"/>
      <c r="K273" s="2"/>
      <c r="L273" s="5"/>
      <c r="M273" s="7" t="str">
        <f>IFERROR(VLOOKUP(H273,#REF!,2,FALSE),"-")</f>
        <v>-</v>
      </c>
    </row>
    <row r="274" spans="1:13" ht="24.75" customHeight="1" x14ac:dyDescent="0.35">
      <c r="A274" s="3" t="s">
        <v>11</v>
      </c>
      <c r="B274" s="18" t="s">
        <v>282</v>
      </c>
      <c r="C274" s="2" t="s">
        <v>41</v>
      </c>
      <c r="D274" s="29" t="s">
        <v>286</v>
      </c>
      <c r="E274" s="30" t="s">
        <v>37</v>
      </c>
      <c r="F274" s="3" t="s">
        <v>38</v>
      </c>
      <c r="G274" s="33" t="s">
        <v>39</v>
      </c>
      <c r="H274" s="2" t="s">
        <v>283</v>
      </c>
      <c r="I274" s="35" t="s">
        <v>19</v>
      </c>
      <c r="J274" s="10" t="s">
        <v>20</v>
      </c>
      <c r="K274" s="15" t="s">
        <v>284</v>
      </c>
      <c r="L274" s="5"/>
      <c r="M274" s="7" t="str">
        <f>IFERROR(VLOOKUP(H274,#REF!,2,FALSE),"-")</f>
        <v>-</v>
      </c>
    </row>
    <row r="275" spans="1:13" ht="24.75" customHeight="1" x14ac:dyDescent="0.35">
      <c r="A275" s="3" t="s">
        <v>11</v>
      </c>
      <c r="B275" s="18" t="s">
        <v>282</v>
      </c>
      <c r="C275" s="2" t="s">
        <v>41</v>
      </c>
      <c r="D275" s="29" t="s">
        <v>287</v>
      </c>
      <c r="E275" s="30" t="s">
        <v>31</v>
      </c>
      <c r="F275" s="3" t="s">
        <v>32</v>
      </c>
      <c r="G275" s="33" t="s">
        <v>33</v>
      </c>
      <c r="H275" s="2" t="s">
        <v>283</v>
      </c>
      <c r="I275" s="35" t="s">
        <v>19</v>
      </c>
      <c r="J275" s="10"/>
      <c r="K275" s="2"/>
      <c r="L275" s="5"/>
      <c r="M275" s="7" t="str">
        <f>IFERROR(VLOOKUP(H275,#REF!,2,FALSE),"-")</f>
        <v>-</v>
      </c>
    </row>
    <row r="276" spans="1:13" ht="24.75" customHeight="1" x14ac:dyDescent="0.35">
      <c r="A276" s="3" t="s">
        <v>11</v>
      </c>
      <c r="B276" s="18" t="s">
        <v>282</v>
      </c>
      <c r="C276" s="2" t="s">
        <v>59</v>
      </c>
      <c r="D276" s="29" t="s">
        <v>288</v>
      </c>
      <c r="E276" s="30" t="s">
        <v>195</v>
      </c>
      <c r="F276" s="3" t="s">
        <v>38</v>
      </c>
      <c r="G276" s="33" t="s">
        <v>196</v>
      </c>
      <c r="H276" s="2" t="s">
        <v>283</v>
      </c>
      <c r="I276" s="35" t="s">
        <v>19</v>
      </c>
      <c r="J276" s="10" t="s">
        <v>20</v>
      </c>
      <c r="K276" s="15" t="s">
        <v>289</v>
      </c>
      <c r="L276" s="5"/>
      <c r="M276" s="7" t="str">
        <f>IFERROR(VLOOKUP(H276,#REF!,2,FALSE),"-")</f>
        <v>-</v>
      </c>
    </row>
    <row r="277" spans="1:13" ht="24.75" customHeight="1" x14ac:dyDescent="0.35">
      <c r="A277" s="3" t="s">
        <v>11</v>
      </c>
      <c r="B277" s="18" t="s">
        <v>282</v>
      </c>
      <c r="C277" s="2" t="s">
        <v>59</v>
      </c>
      <c r="D277" s="29" t="s">
        <v>290</v>
      </c>
      <c r="E277" s="30" t="s">
        <v>31</v>
      </c>
      <c r="F277" s="3" t="s">
        <v>32</v>
      </c>
      <c r="G277" s="33" t="s">
        <v>33</v>
      </c>
      <c r="H277" s="2" t="s">
        <v>283</v>
      </c>
      <c r="I277" s="35" t="s">
        <v>19</v>
      </c>
      <c r="J277" s="10" t="s">
        <v>20</v>
      </c>
      <c r="K277" s="2" t="s">
        <v>284</v>
      </c>
      <c r="L277" s="5"/>
      <c r="M277" s="7" t="str">
        <f>IFERROR(VLOOKUP(H277,#REF!,2,FALSE),"-")</f>
        <v>-</v>
      </c>
    </row>
    <row r="278" spans="1:13" ht="24.75" customHeight="1" x14ac:dyDescent="0.35">
      <c r="A278" s="3" t="s">
        <v>11</v>
      </c>
      <c r="B278" s="18" t="s">
        <v>70</v>
      </c>
      <c r="C278" s="2" t="s">
        <v>59</v>
      </c>
      <c r="D278" s="29" t="s">
        <v>71</v>
      </c>
      <c r="E278" s="30" t="s">
        <v>37</v>
      </c>
      <c r="F278" s="3" t="s">
        <v>38</v>
      </c>
      <c r="G278" s="33" t="s">
        <v>39</v>
      </c>
      <c r="H278" s="2" t="s">
        <v>72</v>
      </c>
      <c r="I278" s="35" t="s">
        <v>19</v>
      </c>
      <c r="J278" s="10"/>
      <c r="K278" s="15"/>
      <c r="L278" s="5"/>
      <c r="M278" s="7" t="str">
        <f>IFERROR(VLOOKUP(H278,#REF!,2,FALSE),"-")</f>
        <v>-</v>
      </c>
    </row>
    <row r="279" spans="1:13" ht="24.75" customHeight="1" x14ac:dyDescent="0.35">
      <c r="A279" s="3" t="s">
        <v>11</v>
      </c>
      <c r="B279" s="18" t="s">
        <v>70</v>
      </c>
      <c r="C279" s="2" t="s">
        <v>59</v>
      </c>
      <c r="D279" s="29" t="s">
        <v>74</v>
      </c>
      <c r="E279" s="30" t="s">
        <v>31</v>
      </c>
      <c r="F279" s="3" t="s">
        <v>32</v>
      </c>
      <c r="G279" s="33" t="s">
        <v>33</v>
      </c>
      <c r="H279" s="2" t="s">
        <v>72</v>
      </c>
      <c r="I279" s="35" t="s">
        <v>19</v>
      </c>
      <c r="J279" s="10" t="s">
        <v>20</v>
      </c>
      <c r="K279" s="15" t="s">
        <v>75</v>
      </c>
      <c r="L279" s="5"/>
      <c r="M279" s="7" t="str">
        <f>IFERROR(VLOOKUP(H279,#REF!,2,FALSE),"-")</f>
        <v>-</v>
      </c>
    </row>
    <row r="280" spans="1:13" ht="24.75" customHeight="1" x14ac:dyDescent="0.35">
      <c r="A280" s="3" t="s">
        <v>11</v>
      </c>
      <c r="B280" s="18" t="s">
        <v>70</v>
      </c>
      <c r="C280" s="2" t="s">
        <v>59</v>
      </c>
      <c r="D280" s="29" t="s">
        <v>76</v>
      </c>
      <c r="E280" s="30" t="s">
        <v>31</v>
      </c>
      <c r="F280" s="3" t="s">
        <v>32</v>
      </c>
      <c r="G280" s="33" t="s">
        <v>33</v>
      </c>
      <c r="H280" s="2" t="s">
        <v>72</v>
      </c>
      <c r="I280" s="35" t="s">
        <v>19</v>
      </c>
      <c r="J280" s="10"/>
      <c r="K280" s="2"/>
      <c r="L280" s="5"/>
      <c r="M280" s="7" t="str">
        <f>IFERROR(VLOOKUP(H280,#REF!,2,FALSE),"-")</f>
        <v>-</v>
      </c>
    </row>
    <row r="281" spans="1:13" ht="24.75" customHeight="1" x14ac:dyDescent="0.35">
      <c r="A281" s="3" t="s">
        <v>11</v>
      </c>
      <c r="B281" s="18" t="s">
        <v>70</v>
      </c>
      <c r="C281" s="2" t="s">
        <v>77</v>
      </c>
      <c r="D281" s="29" t="s">
        <v>78</v>
      </c>
      <c r="E281" s="30" t="s">
        <v>31</v>
      </c>
      <c r="F281" s="3" t="s">
        <v>32</v>
      </c>
      <c r="G281" s="33" t="s">
        <v>33</v>
      </c>
      <c r="H281" s="2" t="s">
        <v>72</v>
      </c>
      <c r="I281" s="35" t="s">
        <v>19</v>
      </c>
      <c r="J281" s="10" t="s">
        <v>20</v>
      </c>
      <c r="K281" s="15" t="s">
        <v>65</v>
      </c>
      <c r="L281" s="5"/>
      <c r="M281" s="7" t="str">
        <f>IFERROR(VLOOKUP(H281,#REF!,2,FALSE),"-")</f>
        <v>-</v>
      </c>
    </row>
    <row r="282" spans="1:13" ht="24.75" customHeight="1" x14ac:dyDescent="0.35">
      <c r="A282" s="3" t="s">
        <v>11</v>
      </c>
      <c r="B282" s="18" t="s">
        <v>70</v>
      </c>
      <c r="C282" s="2" t="s">
        <v>79</v>
      </c>
      <c r="D282" s="29" t="s">
        <v>80</v>
      </c>
      <c r="E282" s="30" t="s">
        <v>44</v>
      </c>
      <c r="F282" s="3" t="s">
        <v>32</v>
      </c>
      <c r="G282" s="33" t="s">
        <v>33</v>
      </c>
      <c r="H282" s="2" t="s">
        <v>72</v>
      </c>
      <c r="I282" s="35" t="s">
        <v>19</v>
      </c>
      <c r="J282" s="10" t="s">
        <v>20</v>
      </c>
      <c r="K282" s="15" t="s">
        <v>27</v>
      </c>
      <c r="L282" s="5"/>
      <c r="M282" s="7" t="str">
        <f>IFERROR(VLOOKUP(H282,#REF!,2,FALSE),"-")</f>
        <v>-</v>
      </c>
    </row>
    <row r="283" spans="1:13" ht="24.75" customHeight="1" x14ac:dyDescent="0.35">
      <c r="A283" s="3" t="s">
        <v>11</v>
      </c>
      <c r="B283" s="18" t="s">
        <v>70</v>
      </c>
      <c r="C283" s="2" t="s">
        <v>79</v>
      </c>
      <c r="D283" s="29" t="s">
        <v>81</v>
      </c>
      <c r="E283" s="30" t="s">
        <v>31</v>
      </c>
      <c r="F283" s="3" t="s">
        <v>32</v>
      </c>
      <c r="G283" s="33" t="s">
        <v>33</v>
      </c>
      <c r="H283" s="2" t="s">
        <v>72</v>
      </c>
      <c r="I283" s="35" t="s">
        <v>19</v>
      </c>
      <c r="J283" s="10"/>
      <c r="K283" s="2"/>
      <c r="L283" s="5"/>
      <c r="M283" s="7" t="str">
        <f>IFERROR(VLOOKUP(H283,#REF!,2,FALSE),"-")</f>
        <v>-</v>
      </c>
    </row>
    <row r="284" spans="1:13" ht="24.75" customHeight="1" x14ac:dyDescent="0.35">
      <c r="A284" s="3" t="s">
        <v>11</v>
      </c>
      <c r="B284" s="18" t="s">
        <v>70</v>
      </c>
      <c r="C284" s="2" t="s">
        <v>79</v>
      </c>
      <c r="D284" s="29" t="s">
        <v>86</v>
      </c>
      <c r="E284" s="30" t="s">
        <v>31</v>
      </c>
      <c r="F284" s="3" t="s">
        <v>32</v>
      </c>
      <c r="G284" s="33" t="s">
        <v>33</v>
      </c>
      <c r="H284" s="2" t="s">
        <v>72</v>
      </c>
      <c r="I284" s="35" t="s">
        <v>19</v>
      </c>
      <c r="J284" s="10"/>
      <c r="K284" s="15"/>
      <c r="L284" s="5"/>
      <c r="M284" s="7" t="str">
        <f>IFERROR(VLOOKUP(H284,#REF!,2,FALSE),"-")</f>
        <v>-</v>
      </c>
    </row>
    <row r="285" spans="1:13" ht="24.75" customHeight="1" x14ac:dyDescent="0.35">
      <c r="A285" s="3" t="s">
        <v>11</v>
      </c>
      <c r="B285" s="18" t="s">
        <v>291</v>
      </c>
      <c r="C285" s="2" t="s">
        <v>292</v>
      </c>
      <c r="D285" s="29" t="s">
        <v>293</v>
      </c>
      <c r="E285" s="30" t="s">
        <v>195</v>
      </c>
      <c r="F285" s="3" t="s">
        <v>38</v>
      </c>
      <c r="G285" s="33" t="s">
        <v>196</v>
      </c>
      <c r="H285" s="2" t="s">
        <v>294</v>
      </c>
      <c r="I285" s="35" t="s">
        <v>19</v>
      </c>
      <c r="J285" s="10" t="s">
        <v>20</v>
      </c>
      <c r="K285" s="2" t="s">
        <v>65</v>
      </c>
      <c r="L285" s="5"/>
      <c r="M285" s="7" t="str">
        <f>IFERROR(VLOOKUP(H285,#REF!,2,FALSE),"-")</f>
        <v>-</v>
      </c>
    </row>
    <row r="286" spans="1:13" ht="24.75" customHeight="1" x14ac:dyDescent="0.35">
      <c r="A286" s="3" t="s">
        <v>11</v>
      </c>
      <c r="B286" s="18" t="s">
        <v>291</v>
      </c>
      <c r="C286" s="2" t="s">
        <v>292</v>
      </c>
      <c r="D286" s="29" t="s">
        <v>295</v>
      </c>
      <c r="E286" s="30" t="s">
        <v>31</v>
      </c>
      <c r="F286" s="3" t="s">
        <v>32</v>
      </c>
      <c r="G286" s="33" t="s">
        <v>33</v>
      </c>
      <c r="H286" s="2" t="s">
        <v>294</v>
      </c>
      <c r="I286" s="35" t="s">
        <v>19</v>
      </c>
      <c r="J286" s="10"/>
      <c r="K286" s="2"/>
      <c r="L286" s="5"/>
      <c r="M286" s="7" t="str">
        <f>IFERROR(VLOOKUP(H286,#REF!,2,FALSE),"-")</f>
        <v>-</v>
      </c>
    </row>
    <row r="287" spans="1:13" ht="24.75" customHeight="1" x14ac:dyDescent="0.35">
      <c r="A287" s="3" t="s">
        <v>11</v>
      </c>
      <c r="B287" s="18" t="s">
        <v>291</v>
      </c>
      <c r="C287" s="2" t="s">
        <v>66</v>
      </c>
      <c r="D287" s="29" t="s">
        <v>296</v>
      </c>
      <c r="E287" s="30" t="s">
        <v>31</v>
      </c>
      <c r="F287" s="3" t="s">
        <v>32</v>
      </c>
      <c r="G287" s="33" t="s">
        <v>33</v>
      </c>
      <c r="H287" s="2" t="s">
        <v>294</v>
      </c>
      <c r="I287" s="35" t="s">
        <v>19</v>
      </c>
      <c r="J287" s="10" t="s">
        <v>20</v>
      </c>
      <c r="K287" s="2" t="s">
        <v>65</v>
      </c>
      <c r="L287" s="5"/>
      <c r="M287" s="7" t="str">
        <f>IFERROR(VLOOKUP(H287,#REF!,2,FALSE),"-")</f>
        <v>-</v>
      </c>
    </row>
    <row r="288" spans="1:13" ht="24.75" customHeight="1" x14ac:dyDescent="0.35">
      <c r="A288" s="3" t="s">
        <v>11</v>
      </c>
      <c r="B288" s="18" t="s">
        <v>291</v>
      </c>
      <c r="C288" s="2" t="s">
        <v>66</v>
      </c>
      <c r="D288" s="29" t="s">
        <v>297</v>
      </c>
      <c r="E288" s="30" t="s">
        <v>31</v>
      </c>
      <c r="F288" s="3" t="s">
        <v>32</v>
      </c>
      <c r="G288" s="33" t="s">
        <v>33</v>
      </c>
      <c r="H288" s="2" t="s">
        <v>294</v>
      </c>
      <c r="I288" s="35" t="s">
        <v>19</v>
      </c>
      <c r="J288" s="10"/>
      <c r="K288" s="15"/>
      <c r="L288" s="5"/>
      <c r="M288" s="7" t="str">
        <f>IFERROR(VLOOKUP(H288,#REF!,2,FALSE),"-")</f>
        <v>-</v>
      </c>
    </row>
    <row r="289" spans="1:13" ht="24.75" customHeight="1" x14ac:dyDescent="0.35">
      <c r="A289" s="3" t="s">
        <v>11</v>
      </c>
      <c r="B289" s="18" t="s">
        <v>291</v>
      </c>
      <c r="C289" s="2" t="s">
        <v>47</v>
      </c>
      <c r="D289" s="29" t="s">
        <v>298</v>
      </c>
      <c r="E289" s="30" t="s">
        <v>195</v>
      </c>
      <c r="F289" s="3" t="s">
        <v>38</v>
      </c>
      <c r="G289" s="33" t="s">
        <v>196</v>
      </c>
      <c r="H289" s="2" t="s">
        <v>294</v>
      </c>
      <c r="I289" s="35" t="s">
        <v>19</v>
      </c>
      <c r="J289" s="10" t="s">
        <v>20</v>
      </c>
      <c r="K289" s="15" t="s">
        <v>299</v>
      </c>
      <c r="L289" s="5"/>
      <c r="M289" s="7" t="str">
        <f>IFERROR(VLOOKUP(H289,#REF!,2,FALSE),"-")</f>
        <v>-</v>
      </c>
    </row>
    <row r="290" spans="1:13" ht="24.75" customHeight="1" x14ac:dyDescent="0.35">
      <c r="A290" s="3" t="s">
        <v>11</v>
      </c>
      <c r="B290" s="18" t="s">
        <v>291</v>
      </c>
      <c r="C290" s="2" t="s">
        <v>47</v>
      </c>
      <c r="D290" s="29" t="s">
        <v>300</v>
      </c>
      <c r="E290" s="30" t="s">
        <v>31</v>
      </c>
      <c r="F290" s="3" t="s">
        <v>32</v>
      </c>
      <c r="G290" s="33" t="s">
        <v>33</v>
      </c>
      <c r="H290" s="2" t="s">
        <v>294</v>
      </c>
      <c r="I290" s="35" t="s">
        <v>19</v>
      </c>
      <c r="J290" s="10"/>
      <c r="K290" s="2"/>
      <c r="L290" s="5"/>
      <c r="M290" s="7" t="str">
        <f>IFERROR(VLOOKUP(H290,#REF!,2,FALSE),"-")</f>
        <v>-</v>
      </c>
    </row>
    <row r="291" spans="1:13" ht="24.75" customHeight="1" x14ac:dyDescent="0.35">
      <c r="A291" s="3" t="s">
        <v>11</v>
      </c>
      <c r="B291" s="18" t="s">
        <v>291</v>
      </c>
      <c r="C291" s="2" t="s">
        <v>47</v>
      </c>
      <c r="D291" s="29" t="s">
        <v>301</v>
      </c>
      <c r="E291" s="30" t="s">
        <v>31</v>
      </c>
      <c r="F291" s="3" t="s">
        <v>32</v>
      </c>
      <c r="G291" s="33" t="s">
        <v>33</v>
      </c>
      <c r="H291" s="2" t="s">
        <v>294</v>
      </c>
      <c r="I291" s="35" t="s">
        <v>19</v>
      </c>
      <c r="J291" s="10"/>
      <c r="K291" s="2"/>
      <c r="L291" s="5"/>
      <c r="M291" s="7" t="str">
        <f>IFERROR(VLOOKUP(H291,#REF!,2,FALSE),"-")</f>
        <v>-</v>
      </c>
    </row>
    <row r="292" spans="1:13" ht="36" x14ac:dyDescent="0.35">
      <c r="A292" s="3" t="s">
        <v>302</v>
      </c>
      <c r="B292" s="18" t="s">
        <v>556</v>
      </c>
      <c r="C292" s="2" t="s">
        <v>47</v>
      </c>
      <c r="D292" s="29" t="s">
        <v>557</v>
      </c>
      <c r="E292" s="30" t="s">
        <v>148</v>
      </c>
      <c r="F292" s="3" t="s">
        <v>32</v>
      </c>
      <c r="G292" s="33" t="s">
        <v>33</v>
      </c>
      <c r="H292" s="2" t="s">
        <v>558</v>
      </c>
      <c r="I292" s="35" t="s">
        <v>19</v>
      </c>
      <c r="J292" s="10" t="s">
        <v>20</v>
      </c>
      <c r="K292" s="15" t="s">
        <v>65</v>
      </c>
      <c r="L292" s="2" t="s">
        <v>559</v>
      </c>
      <c r="M292" s="7" t="str">
        <f>IFERROR(VLOOKUP(H292,#REF!,2,FALSE),"-")</f>
        <v>-</v>
      </c>
    </row>
    <row r="293" spans="1:13" ht="36" customHeight="1" x14ac:dyDescent="0.35">
      <c r="A293" s="3" t="s">
        <v>302</v>
      </c>
      <c r="B293" s="18" t="s">
        <v>583</v>
      </c>
      <c r="C293" s="2" t="s">
        <v>292</v>
      </c>
      <c r="D293" s="29" t="s">
        <v>584</v>
      </c>
      <c r="E293" s="30" t="s">
        <v>195</v>
      </c>
      <c r="F293" s="3" t="s">
        <v>38</v>
      </c>
      <c r="G293" s="33" t="s">
        <v>585</v>
      </c>
      <c r="H293" s="2" t="s">
        <v>586</v>
      </c>
      <c r="I293" s="35" t="s">
        <v>112</v>
      </c>
      <c r="J293" s="10" t="s">
        <v>20</v>
      </c>
      <c r="K293" s="15" t="s">
        <v>113</v>
      </c>
      <c r="L293" s="2" t="s">
        <v>587</v>
      </c>
    </row>
    <row r="294" spans="1:13" ht="40.5" customHeight="1" x14ac:dyDescent="0.35">
      <c r="A294" s="3" t="s">
        <v>302</v>
      </c>
      <c r="B294" s="18" t="s">
        <v>583</v>
      </c>
      <c r="C294" s="2" t="s">
        <v>292</v>
      </c>
      <c r="D294" s="29" t="s">
        <v>588</v>
      </c>
      <c r="E294" s="30" t="s">
        <v>31</v>
      </c>
      <c r="F294" s="3" t="s">
        <v>38</v>
      </c>
      <c r="G294" s="33" t="s">
        <v>585</v>
      </c>
      <c r="H294" s="2" t="s">
        <v>586</v>
      </c>
      <c r="I294" s="35" t="s">
        <v>112</v>
      </c>
      <c r="J294" s="10" t="s">
        <v>20</v>
      </c>
      <c r="K294" s="15" t="s">
        <v>234</v>
      </c>
      <c r="L294" s="5" t="s">
        <v>589</v>
      </c>
    </row>
    <row r="295" spans="1:13" x14ac:dyDescent="0.35">
      <c r="A295" s="3" t="s">
        <v>302</v>
      </c>
      <c r="B295" s="18" t="s">
        <v>583</v>
      </c>
      <c r="C295" s="2" t="s">
        <v>164</v>
      </c>
      <c r="D295" s="29" t="s">
        <v>590</v>
      </c>
      <c r="E295" s="30" t="s">
        <v>591</v>
      </c>
      <c r="F295" s="3" t="s">
        <v>32</v>
      </c>
      <c r="G295" s="33" t="s">
        <v>33</v>
      </c>
      <c r="H295" s="2" t="s">
        <v>586</v>
      </c>
      <c r="I295" s="35" t="s">
        <v>112</v>
      </c>
      <c r="J295" s="10" t="s">
        <v>20</v>
      </c>
      <c r="K295" s="23" t="s">
        <v>94</v>
      </c>
      <c r="L295" s="2" t="s">
        <v>592</v>
      </c>
    </row>
    <row r="296" spans="1:13" ht="36" x14ac:dyDescent="0.35">
      <c r="A296" s="3" t="s">
        <v>302</v>
      </c>
      <c r="B296" s="18" t="s">
        <v>583</v>
      </c>
      <c r="C296" s="2" t="s">
        <v>593</v>
      </c>
      <c r="D296" s="29" t="s">
        <v>594</v>
      </c>
      <c r="E296" s="30" t="s">
        <v>31</v>
      </c>
      <c r="F296" s="3" t="s">
        <v>32</v>
      </c>
      <c r="G296" s="33" t="s">
        <v>33</v>
      </c>
      <c r="H296" s="2" t="s">
        <v>586</v>
      </c>
      <c r="I296" s="35" t="s">
        <v>112</v>
      </c>
      <c r="J296" s="10" t="s">
        <v>20</v>
      </c>
      <c r="K296" s="15" t="s">
        <v>595</v>
      </c>
      <c r="L296" s="2" t="s">
        <v>596</v>
      </c>
    </row>
    <row r="297" spans="1:13" ht="27.6" customHeight="1" x14ac:dyDescent="0.35">
      <c r="A297" s="3" t="s">
        <v>302</v>
      </c>
      <c r="B297" s="18" t="s">
        <v>515</v>
      </c>
      <c r="C297" s="2" t="s">
        <v>142</v>
      </c>
      <c r="D297" s="29" t="s">
        <v>597</v>
      </c>
      <c r="E297" s="30" t="s">
        <v>31</v>
      </c>
      <c r="F297" s="3" t="s">
        <v>32</v>
      </c>
      <c r="G297" s="33" t="s">
        <v>33</v>
      </c>
      <c r="H297" s="2" t="s">
        <v>599</v>
      </c>
      <c r="I297" s="35" t="s">
        <v>307</v>
      </c>
      <c r="J297" s="10" t="s">
        <v>20</v>
      </c>
      <c r="K297" s="23" t="s">
        <v>113</v>
      </c>
      <c r="L297" s="20" t="s">
        <v>600</v>
      </c>
    </row>
    <row r="298" spans="1:13" ht="32.450000000000003" customHeight="1" x14ac:dyDescent="0.35">
      <c r="A298" s="3" t="s">
        <v>302</v>
      </c>
      <c r="B298" s="18" t="s">
        <v>515</v>
      </c>
      <c r="C298" s="2" t="s">
        <v>142</v>
      </c>
      <c r="D298" s="29" t="s">
        <v>598</v>
      </c>
      <c r="E298" s="30" t="s">
        <v>31</v>
      </c>
      <c r="F298" s="3" t="s">
        <v>32</v>
      </c>
      <c r="G298" s="33" t="s">
        <v>33</v>
      </c>
      <c r="H298" s="2" t="s">
        <v>599</v>
      </c>
      <c r="I298" s="35" t="s">
        <v>307</v>
      </c>
      <c r="J298" s="10" t="s">
        <v>20</v>
      </c>
      <c r="K298" s="15" t="s">
        <v>113</v>
      </c>
      <c r="L298" s="20" t="s">
        <v>600</v>
      </c>
    </row>
    <row r="299" spans="1:13" ht="36" x14ac:dyDescent="0.35">
      <c r="A299" s="3" t="s">
        <v>302</v>
      </c>
      <c r="B299" s="18" t="s">
        <v>515</v>
      </c>
      <c r="C299" s="2" t="s">
        <v>47</v>
      </c>
      <c r="D299" s="29" t="s">
        <v>601</v>
      </c>
      <c r="E299" s="30" t="s">
        <v>31</v>
      </c>
      <c r="F299" s="3" t="s">
        <v>32</v>
      </c>
      <c r="G299" s="33" t="s">
        <v>33</v>
      </c>
      <c r="H299" s="2" t="s">
        <v>599</v>
      </c>
      <c r="I299" s="35" t="s">
        <v>307</v>
      </c>
      <c r="J299" s="10" t="s">
        <v>20</v>
      </c>
      <c r="K299" s="15" t="s">
        <v>65</v>
      </c>
      <c r="L299" s="20" t="s">
        <v>602</v>
      </c>
    </row>
    <row r="300" spans="1:13" ht="30.95" customHeight="1" x14ac:dyDescent="0.35">
      <c r="A300" s="3" t="s">
        <v>302</v>
      </c>
      <c r="B300" s="18" t="s">
        <v>515</v>
      </c>
      <c r="C300" s="2" t="s">
        <v>603</v>
      </c>
      <c r="D300" s="29" t="s">
        <v>604</v>
      </c>
      <c r="E300" s="30" t="s">
        <v>31</v>
      </c>
      <c r="F300" s="3" t="s">
        <v>32</v>
      </c>
      <c r="G300" s="33" t="s">
        <v>33</v>
      </c>
      <c r="H300" s="2" t="s">
        <v>599</v>
      </c>
      <c r="I300" s="35" t="s">
        <v>307</v>
      </c>
      <c r="J300" s="10" t="s">
        <v>20</v>
      </c>
      <c r="K300" s="15" t="s">
        <v>21</v>
      </c>
      <c r="L300" s="20" t="s">
        <v>605</v>
      </c>
    </row>
    <row r="301" spans="1:13" ht="54" x14ac:dyDescent="0.35">
      <c r="A301" s="3" t="s">
        <v>302</v>
      </c>
      <c r="B301" s="18" t="s">
        <v>606</v>
      </c>
      <c r="C301" s="2" t="s">
        <v>142</v>
      </c>
      <c r="D301" s="29" t="s">
        <v>608</v>
      </c>
      <c r="E301" s="30" t="s">
        <v>31</v>
      </c>
      <c r="F301" s="3" t="s">
        <v>32</v>
      </c>
      <c r="G301" s="33" t="s">
        <v>33</v>
      </c>
      <c r="H301" s="2" t="s">
        <v>611</v>
      </c>
      <c r="I301" s="35" t="s">
        <v>307</v>
      </c>
      <c r="J301" s="10" t="s">
        <v>20</v>
      </c>
      <c r="K301" s="21" t="s">
        <v>65</v>
      </c>
      <c r="L301" s="20" t="s">
        <v>612</v>
      </c>
    </row>
    <row r="302" spans="1:13" ht="54" x14ac:dyDescent="0.35">
      <c r="A302" s="3" t="s">
        <v>302</v>
      </c>
      <c r="B302" s="18" t="s">
        <v>606</v>
      </c>
      <c r="C302" s="2" t="s">
        <v>142</v>
      </c>
      <c r="D302" s="29" t="s">
        <v>609</v>
      </c>
      <c r="E302" s="30" t="s">
        <v>31</v>
      </c>
      <c r="F302" s="3" t="s">
        <v>32</v>
      </c>
      <c r="G302" s="33" t="s">
        <v>33</v>
      </c>
      <c r="H302" s="2" t="s">
        <v>611</v>
      </c>
      <c r="I302" s="35" t="s">
        <v>307</v>
      </c>
      <c r="J302" s="10" t="s">
        <v>20</v>
      </c>
      <c r="K302" s="21" t="s">
        <v>65</v>
      </c>
      <c r="L302" s="3" t="s">
        <v>612</v>
      </c>
    </row>
    <row r="303" spans="1:13" ht="54" x14ac:dyDescent="0.35">
      <c r="A303" s="3" t="s">
        <v>302</v>
      </c>
      <c r="B303" s="18" t="s">
        <v>606</v>
      </c>
      <c r="C303" s="2" t="s">
        <v>607</v>
      </c>
      <c r="D303" s="29" t="s">
        <v>610</v>
      </c>
      <c r="E303" s="30" t="s">
        <v>31</v>
      </c>
      <c r="F303" s="3" t="s">
        <v>32</v>
      </c>
      <c r="G303" s="33" t="s">
        <v>33</v>
      </c>
      <c r="H303" s="2" t="s">
        <v>611</v>
      </c>
      <c r="I303" s="35" t="s">
        <v>307</v>
      </c>
      <c r="J303" s="10" t="s">
        <v>20</v>
      </c>
      <c r="K303" s="21" t="s">
        <v>65</v>
      </c>
      <c r="L303" s="20" t="s">
        <v>613</v>
      </c>
    </row>
    <row r="304" spans="1:13" ht="36" x14ac:dyDescent="0.35">
      <c r="A304" s="3" t="s">
        <v>302</v>
      </c>
      <c r="B304" s="18" t="s">
        <v>614</v>
      </c>
      <c r="C304" s="2" t="s">
        <v>142</v>
      </c>
      <c r="D304" s="29" t="s">
        <v>608</v>
      </c>
      <c r="E304" s="30" t="s">
        <v>31</v>
      </c>
      <c r="F304" s="3" t="s">
        <v>32</v>
      </c>
      <c r="G304" s="33" t="s">
        <v>33</v>
      </c>
      <c r="H304" s="2" t="s">
        <v>619</v>
      </c>
      <c r="I304" s="35" t="s">
        <v>307</v>
      </c>
      <c r="J304" s="10" t="s">
        <v>20</v>
      </c>
      <c r="K304" s="21" t="s">
        <v>65</v>
      </c>
      <c r="L304" s="20" t="s">
        <v>600</v>
      </c>
    </row>
    <row r="305" spans="1:12" ht="36" x14ac:dyDescent="0.35">
      <c r="A305" s="3" t="s">
        <v>302</v>
      </c>
      <c r="B305" s="18" t="s">
        <v>614</v>
      </c>
      <c r="C305" s="2" t="s">
        <v>142</v>
      </c>
      <c r="D305" s="29" t="s">
        <v>615</v>
      </c>
      <c r="E305" s="30" t="s">
        <v>31</v>
      </c>
      <c r="F305" s="3" t="s">
        <v>32</v>
      </c>
      <c r="G305" s="33" t="s">
        <v>33</v>
      </c>
      <c r="H305" s="2" t="s">
        <v>619</v>
      </c>
      <c r="I305" s="35" t="s">
        <v>307</v>
      </c>
      <c r="J305" s="10" t="s">
        <v>20</v>
      </c>
      <c r="K305" s="21" t="s">
        <v>65</v>
      </c>
      <c r="L305" s="20" t="s">
        <v>600</v>
      </c>
    </row>
    <row r="306" spans="1:12" ht="32.450000000000003" customHeight="1" x14ac:dyDescent="0.35">
      <c r="A306" s="3" t="s">
        <v>302</v>
      </c>
      <c r="B306" s="18" t="s">
        <v>614</v>
      </c>
      <c r="C306" s="2" t="s">
        <v>91</v>
      </c>
      <c r="D306" s="29" t="s">
        <v>616</v>
      </c>
      <c r="E306" s="30" t="s">
        <v>195</v>
      </c>
      <c r="F306" s="3" t="s">
        <v>38</v>
      </c>
      <c r="G306" s="33" t="s">
        <v>585</v>
      </c>
      <c r="H306" s="2" t="s">
        <v>619</v>
      </c>
      <c r="I306" s="35" t="s">
        <v>307</v>
      </c>
      <c r="J306" s="10" t="s">
        <v>20</v>
      </c>
      <c r="K306" s="21" t="s">
        <v>65</v>
      </c>
      <c r="L306" s="20" t="s">
        <v>589</v>
      </c>
    </row>
    <row r="307" spans="1:12" ht="36" x14ac:dyDescent="0.35">
      <c r="A307" s="3" t="s">
        <v>302</v>
      </c>
      <c r="B307" s="18" t="s">
        <v>614</v>
      </c>
      <c r="C307" s="2" t="s">
        <v>91</v>
      </c>
      <c r="D307" s="29" t="s">
        <v>617</v>
      </c>
      <c r="E307" s="30" t="s">
        <v>37</v>
      </c>
      <c r="F307" s="3" t="s">
        <v>38</v>
      </c>
      <c r="G307" s="33" t="s">
        <v>39</v>
      </c>
      <c r="H307" s="2" t="s">
        <v>619</v>
      </c>
      <c r="I307" s="35" t="s">
        <v>307</v>
      </c>
      <c r="J307" s="10" t="s">
        <v>20</v>
      </c>
      <c r="K307" s="21" t="s">
        <v>65</v>
      </c>
      <c r="L307" s="20" t="s">
        <v>589</v>
      </c>
    </row>
    <row r="308" spans="1:12" ht="44.45" customHeight="1" x14ac:dyDescent="0.35">
      <c r="A308" s="3" t="s">
        <v>302</v>
      </c>
      <c r="B308" s="18" t="s">
        <v>614</v>
      </c>
      <c r="C308" s="2" t="s">
        <v>180</v>
      </c>
      <c r="D308" s="29" t="s">
        <v>618</v>
      </c>
      <c r="E308" s="30" t="s">
        <v>31</v>
      </c>
      <c r="F308" s="3" t="s">
        <v>32</v>
      </c>
      <c r="G308" s="33" t="s">
        <v>33</v>
      </c>
      <c r="H308" s="2" t="s">
        <v>619</v>
      </c>
      <c r="I308" s="35" t="s">
        <v>307</v>
      </c>
      <c r="J308" s="10" t="s">
        <v>20</v>
      </c>
      <c r="K308" s="21" t="s">
        <v>65</v>
      </c>
      <c r="L308" s="20" t="s">
        <v>620</v>
      </c>
    </row>
    <row r="309" spans="1:12" ht="36" x14ac:dyDescent="0.35">
      <c r="A309" s="3" t="s">
        <v>302</v>
      </c>
      <c r="B309" s="18" t="s">
        <v>621</v>
      </c>
      <c r="C309" s="2" t="s">
        <v>87</v>
      </c>
      <c r="D309" s="29" t="s">
        <v>623</v>
      </c>
      <c r="E309" s="30" t="s">
        <v>31</v>
      </c>
      <c r="F309" s="3" t="s">
        <v>32</v>
      </c>
      <c r="G309" s="33" t="s">
        <v>33</v>
      </c>
      <c r="H309" s="2" t="s">
        <v>630</v>
      </c>
      <c r="I309" s="35" t="s">
        <v>307</v>
      </c>
      <c r="J309" s="10" t="s">
        <v>20</v>
      </c>
      <c r="K309" s="15" t="s">
        <v>21</v>
      </c>
      <c r="L309" s="20" t="s">
        <v>631</v>
      </c>
    </row>
    <row r="310" spans="1:12" x14ac:dyDescent="0.35">
      <c r="A310" s="3" t="s">
        <v>302</v>
      </c>
      <c r="B310" s="18" t="s">
        <v>621</v>
      </c>
      <c r="C310" s="2" t="s">
        <v>87</v>
      </c>
      <c r="D310" s="29" t="s">
        <v>624</v>
      </c>
      <c r="E310" s="30" t="s">
        <v>37</v>
      </c>
      <c r="F310" s="3" t="s">
        <v>38</v>
      </c>
      <c r="G310" s="33" t="s">
        <v>39</v>
      </c>
      <c r="H310" s="2" t="s">
        <v>630</v>
      </c>
      <c r="I310" s="35" t="s">
        <v>307</v>
      </c>
      <c r="J310" s="10" t="s">
        <v>20</v>
      </c>
      <c r="K310" s="15" t="s">
        <v>21</v>
      </c>
      <c r="L310" s="20" t="s">
        <v>631</v>
      </c>
    </row>
    <row r="311" spans="1:12" ht="36" x14ac:dyDescent="0.35">
      <c r="A311" s="3" t="s">
        <v>302</v>
      </c>
      <c r="B311" s="18" t="s">
        <v>621</v>
      </c>
      <c r="C311" s="2" t="s">
        <v>622</v>
      </c>
      <c r="D311" s="29" t="s">
        <v>625</v>
      </c>
      <c r="E311" s="30" t="s">
        <v>31</v>
      </c>
      <c r="F311" s="3" t="s">
        <v>32</v>
      </c>
      <c r="G311" s="33" t="s">
        <v>33</v>
      </c>
      <c r="H311" s="2" t="s">
        <v>630</v>
      </c>
      <c r="I311" s="35" t="s">
        <v>307</v>
      </c>
      <c r="J311" s="10" t="s">
        <v>20</v>
      </c>
      <c r="K311" s="15" t="s">
        <v>65</v>
      </c>
      <c r="L311" s="20" t="s">
        <v>632</v>
      </c>
    </row>
    <row r="312" spans="1:12" ht="36" x14ac:dyDescent="0.35">
      <c r="A312" s="3" t="s">
        <v>302</v>
      </c>
      <c r="B312" s="18" t="s">
        <v>621</v>
      </c>
      <c r="C312" s="2" t="s">
        <v>622</v>
      </c>
      <c r="D312" s="29" t="s">
        <v>626</v>
      </c>
      <c r="E312" s="30" t="s">
        <v>37</v>
      </c>
      <c r="F312" s="3" t="s">
        <v>38</v>
      </c>
      <c r="G312" s="33" t="s">
        <v>39</v>
      </c>
      <c r="H312" s="2" t="s">
        <v>630</v>
      </c>
      <c r="I312" s="35" t="s">
        <v>307</v>
      </c>
      <c r="J312" s="10" t="s">
        <v>20</v>
      </c>
      <c r="K312" s="15" t="s">
        <v>65</v>
      </c>
      <c r="L312" s="20" t="s">
        <v>632</v>
      </c>
    </row>
    <row r="313" spans="1:12" ht="36" x14ac:dyDescent="0.35">
      <c r="A313" s="3" t="s">
        <v>302</v>
      </c>
      <c r="B313" s="18" t="s">
        <v>621</v>
      </c>
      <c r="C313" s="2" t="s">
        <v>622</v>
      </c>
      <c r="D313" s="29" t="s">
        <v>627</v>
      </c>
      <c r="E313" s="30" t="s">
        <v>31</v>
      </c>
      <c r="F313" s="3" t="s">
        <v>32</v>
      </c>
      <c r="G313" s="33" t="s">
        <v>33</v>
      </c>
      <c r="H313" s="2" t="s">
        <v>630</v>
      </c>
      <c r="I313" s="35" t="s">
        <v>307</v>
      </c>
      <c r="J313" s="10" t="s">
        <v>20</v>
      </c>
      <c r="K313" s="15" t="s">
        <v>65</v>
      </c>
      <c r="L313" s="20" t="s">
        <v>632</v>
      </c>
    </row>
    <row r="314" spans="1:12" ht="36" x14ac:dyDescent="0.35">
      <c r="A314" s="3" t="s">
        <v>302</v>
      </c>
      <c r="B314" s="18" t="s">
        <v>621</v>
      </c>
      <c r="C314" s="2" t="s">
        <v>66</v>
      </c>
      <c r="D314" s="29" t="s">
        <v>628</v>
      </c>
      <c r="E314" s="30" t="s">
        <v>31</v>
      </c>
      <c r="F314" s="3" t="s">
        <v>32</v>
      </c>
      <c r="G314" s="33" t="s">
        <v>33</v>
      </c>
      <c r="H314" s="2" t="s">
        <v>630</v>
      </c>
      <c r="I314" s="35" t="s">
        <v>307</v>
      </c>
      <c r="J314" s="10" t="s">
        <v>20</v>
      </c>
      <c r="K314" s="15" t="s">
        <v>21</v>
      </c>
      <c r="L314" s="20" t="s">
        <v>633</v>
      </c>
    </row>
    <row r="315" spans="1:12" ht="36" x14ac:dyDescent="0.35">
      <c r="A315" s="3" t="s">
        <v>302</v>
      </c>
      <c r="B315" s="18" t="s">
        <v>621</v>
      </c>
      <c r="C315" s="2" t="s">
        <v>66</v>
      </c>
      <c r="D315" s="29" t="s">
        <v>629</v>
      </c>
      <c r="E315" s="30" t="s">
        <v>31</v>
      </c>
      <c r="F315" s="3" t="s">
        <v>32</v>
      </c>
      <c r="G315" s="33" t="s">
        <v>33</v>
      </c>
      <c r="H315" s="2" t="s">
        <v>630</v>
      </c>
      <c r="I315" s="35" t="s">
        <v>307</v>
      </c>
      <c r="J315" s="10" t="s">
        <v>20</v>
      </c>
      <c r="K315" s="25" t="s">
        <v>21</v>
      </c>
      <c r="L315" s="20" t="s">
        <v>633</v>
      </c>
    </row>
    <row r="316" spans="1:12" ht="36" x14ac:dyDescent="0.35">
      <c r="A316" s="3" t="s">
        <v>302</v>
      </c>
      <c r="B316" s="18" t="s">
        <v>634</v>
      </c>
      <c r="C316" s="2" t="s">
        <v>87</v>
      </c>
      <c r="D316" s="29" t="s">
        <v>498</v>
      </c>
      <c r="E316" s="30" t="s">
        <v>31</v>
      </c>
      <c r="F316" s="3" t="s">
        <v>32</v>
      </c>
      <c r="G316" s="33" t="s">
        <v>33</v>
      </c>
      <c r="H316" s="2" t="s">
        <v>642</v>
      </c>
      <c r="I316" s="35" t="s">
        <v>112</v>
      </c>
      <c r="J316" s="10" t="s">
        <v>20</v>
      </c>
      <c r="K316" s="20" t="s">
        <v>65</v>
      </c>
      <c r="L316" s="20" t="s">
        <v>643</v>
      </c>
    </row>
    <row r="317" spans="1:12" ht="36" x14ac:dyDescent="0.35">
      <c r="A317" s="3" t="s">
        <v>302</v>
      </c>
      <c r="B317" s="18" t="s">
        <v>634</v>
      </c>
      <c r="C317" s="2" t="s">
        <v>87</v>
      </c>
      <c r="D317" s="29" t="s">
        <v>637</v>
      </c>
      <c r="E317" s="30" t="s">
        <v>31</v>
      </c>
      <c r="F317" s="3" t="s">
        <v>32</v>
      </c>
      <c r="G317" s="33" t="s">
        <v>33</v>
      </c>
      <c r="H317" s="2" t="s">
        <v>642</v>
      </c>
      <c r="I317" s="35" t="s">
        <v>112</v>
      </c>
      <c r="J317" s="10" t="s">
        <v>20</v>
      </c>
      <c r="K317" s="20" t="s">
        <v>65</v>
      </c>
      <c r="L317" s="20" t="s">
        <v>643</v>
      </c>
    </row>
    <row r="318" spans="1:12" ht="36" x14ac:dyDescent="0.35">
      <c r="A318" s="3" t="s">
        <v>302</v>
      </c>
      <c r="B318" s="18" t="s">
        <v>634</v>
      </c>
      <c r="C318" s="2" t="s">
        <v>87</v>
      </c>
      <c r="D318" s="29" t="s">
        <v>638</v>
      </c>
      <c r="E318" s="30" t="s">
        <v>31</v>
      </c>
      <c r="F318" s="3" t="s">
        <v>32</v>
      </c>
      <c r="G318" s="33" t="s">
        <v>33</v>
      </c>
      <c r="H318" s="2" t="s">
        <v>642</v>
      </c>
      <c r="I318" s="35" t="s">
        <v>112</v>
      </c>
      <c r="J318" s="10" t="s">
        <v>20</v>
      </c>
      <c r="K318" s="20" t="s">
        <v>65</v>
      </c>
      <c r="L318" s="20" t="s">
        <v>643</v>
      </c>
    </row>
    <row r="319" spans="1:12" ht="36" x14ac:dyDescent="0.35">
      <c r="A319" s="3" t="s">
        <v>302</v>
      </c>
      <c r="B319" s="18" t="s">
        <v>634</v>
      </c>
      <c r="C319" s="2" t="s">
        <v>635</v>
      </c>
      <c r="D319" s="29" t="s">
        <v>639</v>
      </c>
      <c r="E319" s="30" t="s">
        <v>31</v>
      </c>
      <c r="F319" s="3" t="s">
        <v>32</v>
      </c>
      <c r="G319" s="33" t="s">
        <v>33</v>
      </c>
      <c r="H319" s="2" t="s">
        <v>642</v>
      </c>
      <c r="I319" s="35" t="s">
        <v>112</v>
      </c>
      <c r="J319" s="10" t="s">
        <v>20</v>
      </c>
      <c r="K319" s="20" t="s">
        <v>65</v>
      </c>
      <c r="L319" s="20" t="s">
        <v>644</v>
      </c>
    </row>
    <row r="320" spans="1:12" ht="36" x14ac:dyDescent="0.35">
      <c r="A320" s="3" t="s">
        <v>302</v>
      </c>
      <c r="B320" s="18" t="s">
        <v>634</v>
      </c>
      <c r="C320" s="2" t="s">
        <v>636</v>
      </c>
      <c r="D320" s="29" t="s">
        <v>640</v>
      </c>
      <c r="E320" s="30" t="s">
        <v>31</v>
      </c>
      <c r="F320" s="3" t="s">
        <v>32</v>
      </c>
      <c r="G320" s="33" t="s">
        <v>33</v>
      </c>
      <c r="H320" s="2" t="s">
        <v>642</v>
      </c>
      <c r="I320" s="35" t="s">
        <v>112</v>
      </c>
      <c r="J320" s="10" t="s">
        <v>20</v>
      </c>
      <c r="K320" s="20" t="s">
        <v>65</v>
      </c>
      <c r="L320" s="20" t="s">
        <v>645</v>
      </c>
    </row>
    <row r="321" spans="1:12" ht="54" x14ac:dyDescent="0.35">
      <c r="A321" s="3" t="s">
        <v>302</v>
      </c>
      <c r="B321" s="18" t="s">
        <v>634</v>
      </c>
      <c r="C321" s="2" t="s">
        <v>636</v>
      </c>
      <c r="D321" s="29" t="s">
        <v>641</v>
      </c>
      <c r="E321" s="30" t="s">
        <v>31</v>
      </c>
      <c r="F321" s="3" t="s">
        <v>32</v>
      </c>
      <c r="G321" s="33" t="s">
        <v>33</v>
      </c>
      <c r="H321" s="2" t="s">
        <v>642</v>
      </c>
      <c r="I321" s="35" t="s">
        <v>112</v>
      </c>
      <c r="J321" s="10" t="s">
        <v>20</v>
      </c>
      <c r="K321" s="20" t="s">
        <v>65</v>
      </c>
      <c r="L321" s="20" t="s">
        <v>645</v>
      </c>
    </row>
    <row r="322" spans="1:12" ht="36" x14ac:dyDescent="0.35">
      <c r="A322" s="3" t="s">
        <v>302</v>
      </c>
      <c r="B322" s="18" t="s">
        <v>646</v>
      </c>
      <c r="C322" s="2" t="s">
        <v>29</v>
      </c>
      <c r="D322" s="29" t="s">
        <v>647</v>
      </c>
      <c r="E322" s="30" t="s">
        <v>31</v>
      </c>
      <c r="F322" s="3" t="s">
        <v>32</v>
      </c>
      <c r="G322" s="33" t="s">
        <v>33</v>
      </c>
      <c r="H322" s="2" t="s">
        <v>649</v>
      </c>
      <c r="I322" s="35" t="s">
        <v>159</v>
      </c>
      <c r="J322" s="10" t="s">
        <v>20</v>
      </c>
      <c r="K322" s="20" t="s">
        <v>21</v>
      </c>
      <c r="L322" s="3" t="s">
        <v>650</v>
      </c>
    </row>
    <row r="323" spans="1:12" ht="36" x14ac:dyDescent="0.35">
      <c r="A323" s="3" t="s">
        <v>302</v>
      </c>
      <c r="B323" s="18" t="s">
        <v>646</v>
      </c>
      <c r="C323" s="2" t="s">
        <v>77</v>
      </c>
      <c r="D323" s="29" t="s">
        <v>648</v>
      </c>
      <c r="E323" s="30" t="s">
        <v>31</v>
      </c>
      <c r="F323" s="3" t="s">
        <v>32</v>
      </c>
      <c r="G323" s="33" t="s">
        <v>33</v>
      </c>
      <c r="H323" s="2" t="s">
        <v>649</v>
      </c>
      <c r="I323" s="35" t="s">
        <v>159</v>
      </c>
      <c r="J323" s="10" t="s">
        <v>20</v>
      </c>
      <c r="K323" s="20" t="s">
        <v>65</v>
      </c>
      <c r="L323" s="3" t="s">
        <v>651</v>
      </c>
    </row>
    <row r="324" spans="1:12" ht="54" x14ac:dyDescent="0.35">
      <c r="A324" s="3" t="s">
        <v>302</v>
      </c>
      <c r="B324" s="18" t="s">
        <v>652</v>
      </c>
      <c r="C324" s="2" t="s">
        <v>91</v>
      </c>
      <c r="D324" s="29" t="s">
        <v>653</v>
      </c>
      <c r="E324" s="30" t="s">
        <v>195</v>
      </c>
      <c r="F324" s="3" t="s">
        <v>38</v>
      </c>
      <c r="G324" s="33" t="s">
        <v>196</v>
      </c>
      <c r="H324" s="2" t="s">
        <v>657</v>
      </c>
      <c r="I324" s="35" t="s">
        <v>19</v>
      </c>
      <c r="J324" s="10" t="s">
        <v>20</v>
      </c>
      <c r="K324" s="20" t="s">
        <v>65</v>
      </c>
      <c r="L324" s="20" t="s">
        <v>658</v>
      </c>
    </row>
    <row r="325" spans="1:12" ht="32.1" customHeight="1" x14ac:dyDescent="0.35">
      <c r="A325" s="3" t="s">
        <v>302</v>
      </c>
      <c r="B325" s="18" t="s">
        <v>652</v>
      </c>
      <c r="C325" s="2" t="s">
        <v>91</v>
      </c>
      <c r="D325" s="29" t="s">
        <v>654</v>
      </c>
      <c r="E325" s="30" t="s">
        <v>195</v>
      </c>
      <c r="F325" s="3" t="s">
        <v>38</v>
      </c>
      <c r="G325" s="33" t="s">
        <v>196</v>
      </c>
      <c r="H325" s="2" t="s">
        <v>657</v>
      </c>
      <c r="I325" s="35" t="s">
        <v>19</v>
      </c>
      <c r="J325" s="10" t="s">
        <v>20</v>
      </c>
      <c r="K325" s="20" t="s">
        <v>65</v>
      </c>
      <c r="L325" s="20" t="s">
        <v>658</v>
      </c>
    </row>
    <row r="326" spans="1:12" ht="54" x14ac:dyDescent="0.35">
      <c r="A326" s="3" t="s">
        <v>302</v>
      </c>
      <c r="B326" s="18" t="s">
        <v>652</v>
      </c>
      <c r="C326" s="2" t="s">
        <v>91</v>
      </c>
      <c r="D326" s="29" t="s">
        <v>655</v>
      </c>
      <c r="E326" s="30" t="s">
        <v>195</v>
      </c>
      <c r="F326" s="3" t="s">
        <v>32</v>
      </c>
      <c r="G326" s="33" t="s">
        <v>196</v>
      </c>
      <c r="H326" s="2" t="s">
        <v>657</v>
      </c>
      <c r="I326" s="35" t="s">
        <v>19</v>
      </c>
      <c r="J326" s="10" t="s">
        <v>20</v>
      </c>
      <c r="K326" s="20" t="s">
        <v>65</v>
      </c>
      <c r="L326" s="20" t="s">
        <v>658</v>
      </c>
    </row>
    <row r="327" spans="1:12" ht="36" x14ac:dyDescent="0.35">
      <c r="A327" s="3" t="s">
        <v>302</v>
      </c>
      <c r="B327" s="18" t="s">
        <v>652</v>
      </c>
      <c r="C327" s="2" t="s">
        <v>180</v>
      </c>
      <c r="D327" s="29" t="s">
        <v>656</v>
      </c>
      <c r="E327" s="30" t="s">
        <v>31</v>
      </c>
      <c r="F327" s="3" t="s">
        <v>32</v>
      </c>
      <c r="G327" s="33" t="s">
        <v>33</v>
      </c>
      <c r="H327" s="2" t="s">
        <v>657</v>
      </c>
      <c r="I327" s="35" t="s">
        <v>19</v>
      </c>
      <c r="J327" s="10" t="s">
        <v>20</v>
      </c>
      <c r="K327" s="20" t="s">
        <v>65</v>
      </c>
      <c r="L327" s="20" t="s">
        <v>659</v>
      </c>
    </row>
    <row r="328" spans="1:12" ht="36" x14ac:dyDescent="0.35">
      <c r="A328" s="3" t="s">
        <v>302</v>
      </c>
      <c r="B328" s="18" t="s">
        <v>660</v>
      </c>
      <c r="C328" s="2" t="s">
        <v>180</v>
      </c>
      <c r="D328" s="29" t="s">
        <v>661</v>
      </c>
      <c r="E328" s="30" t="s">
        <v>31</v>
      </c>
      <c r="F328" s="3" t="s">
        <v>32</v>
      </c>
      <c r="G328" s="33" t="s">
        <v>33</v>
      </c>
      <c r="H328" s="2" t="s">
        <v>663</v>
      </c>
      <c r="I328" s="35" t="s">
        <v>112</v>
      </c>
      <c r="J328" s="10" t="s">
        <v>20</v>
      </c>
      <c r="K328" s="20" t="s">
        <v>113</v>
      </c>
      <c r="L328" s="3" t="s">
        <v>664</v>
      </c>
    </row>
    <row r="329" spans="1:12" ht="36" x14ac:dyDescent="0.35">
      <c r="A329" s="3" t="s">
        <v>302</v>
      </c>
      <c r="B329" s="18" t="s">
        <v>660</v>
      </c>
      <c r="C329" s="2" t="s">
        <v>180</v>
      </c>
      <c r="D329" s="29" t="s">
        <v>237</v>
      </c>
      <c r="E329" s="30" t="s">
        <v>31</v>
      </c>
      <c r="F329" s="3" t="s">
        <v>32</v>
      </c>
      <c r="G329" s="33" t="s">
        <v>33</v>
      </c>
      <c r="H329" s="2" t="s">
        <v>663</v>
      </c>
      <c r="I329" s="35" t="s">
        <v>112</v>
      </c>
      <c r="J329" s="10" t="s">
        <v>20</v>
      </c>
      <c r="K329" s="20" t="s">
        <v>113</v>
      </c>
      <c r="L329" s="3" t="s">
        <v>664</v>
      </c>
    </row>
    <row r="330" spans="1:12" ht="54" x14ac:dyDescent="0.35">
      <c r="A330" s="3" t="s">
        <v>302</v>
      </c>
      <c r="B330" s="18" t="s">
        <v>660</v>
      </c>
      <c r="C330" s="2" t="s">
        <v>77</v>
      </c>
      <c r="D330" s="29" t="s">
        <v>662</v>
      </c>
      <c r="E330" s="30" t="s">
        <v>37</v>
      </c>
      <c r="F330" s="3" t="s">
        <v>38</v>
      </c>
      <c r="G330" s="33" t="s">
        <v>39</v>
      </c>
      <c r="H330" s="2" t="s">
        <v>663</v>
      </c>
      <c r="I330" s="35" t="s">
        <v>112</v>
      </c>
      <c r="J330" s="10" t="s">
        <v>20</v>
      </c>
      <c r="K330" s="20" t="s">
        <v>65</v>
      </c>
      <c r="L330" s="3" t="s">
        <v>665</v>
      </c>
    </row>
    <row r="331" spans="1:12" ht="36" x14ac:dyDescent="0.35">
      <c r="A331" s="3" t="s">
        <v>302</v>
      </c>
      <c r="B331" s="18" t="s">
        <v>152</v>
      </c>
      <c r="C331" s="2" t="s">
        <v>405</v>
      </c>
      <c r="D331" s="29" t="s">
        <v>667</v>
      </c>
      <c r="E331" s="30" t="s">
        <v>31</v>
      </c>
      <c r="F331" s="3" t="s">
        <v>32</v>
      </c>
      <c r="G331" s="33" t="s">
        <v>33</v>
      </c>
      <c r="H331" s="2" t="s">
        <v>670</v>
      </c>
      <c r="I331" s="35" t="s">
        <v>112</v>
      </c>
      <c r="J331" s="10" t="s">
        <v>20</v>
      </c>
      <c r="K331" s="20" t="s">
        <v>65</v>
      </c>
      <c r="L331" s="20" t="s">
        <v>671</v>
      </c>
    </row>
    <row r="332" spans="1:12" ht="36" x14ac:dyDescent="0.35">
      <c r="A332" s="3" t="s">
        <v>302</v>
      </c>
      <c r="B332" s="18" t="s">
        <v>152</v>
      </c>
      <c r="C332" s="2" t="s">
        <v>577</v>
      </c>
      <c r="D332" s="29" t="s">
        <v>668</v>
      </c>
      <c r="E332" s="30" t="s">
        <v>31</v>
      </c>
      <c r="F332" s="3" t="s">
        <v>32</v>
      </c>
      <c r="G332" s="33" t="s">
        <v>33</v>
      </c>
      <c r="H332" s="2" t="s">
        <v>670</v>
      </c>
      <c r="I332" s="35" t="s">
        <v>112</v>
      </c>
      <c r="J332" s="10" t="s">
        <v>20</v>
      </c>
      <c r="K332" s="20" t="s">
        <v>65</v>
      </c>
      <c r="L332" s="20" t="s">
        <v>672</v>
      </c>
    </row>
    <row r="333" spans="1:12" ht="36" x14ac:dyDescent="0.35">
      <c r="A333" s="3" t="s">
        <v>302</v>
      </c>
      <c r="B333" s="18" t="s">
        <v>152</v>
      </c>
      <c r="C333" s="2" t="s">
        <v>666</v>
      </c>
      <c r="D333" s="29" t="s">
        <v>669</v>
      </c>
      <c r="E333" s="30" t="s">
        <v>31</v>
      </c>
      <c r="F333" s="3" t="s">
        <v>32</v>
      </c>
      <c r="G333" s="33" t="s">
        <v>33</v>
      </c>
      <c r="H333" s="2" t="s">
        <v>670</v>
      </c>
      <c r="I333" s="35" t="s">
        <v>112</v>
      </c>
      <c r="J333" s="10" t="s">
        <v>20</v>
      </c>
      <c r="K333" s="20" t="s">
        <v>113</v>
      </c>
      <c r="L333" s="20" t="s">
        <v>673</v>
      </c>
    </row>
    <row r="334" spans="1:12" ht="18" customHeight="1" x14ac:dyDescent="0.35">
      <c r="A334" s="3" t="s">
        <v>11</v>
      </c>
      <c r="B334" s="18" t="s">
        <v>674</v>
      </c>
      <c r="C334" s="2" t="s">
        <v>29</v>
      </c>
      <c r="D334" s="29" t="s">
        <v>682</v>
      </c>
      <c r="E334" s="30" t="s">
        <v>31</v>
      </c>
      <c r="F334" s="3" t="s">
        <v>32</v>
      </c>
      <c r="G334" s="33" t="s">
        <v>33</v>
      </c>
      <c r="H334" s="2" t="s">
        <v>675</v>
      </c>
      <c r="I334" s="35" t="s">
        <v>19</v>
      </c>
      <c r="J334" s="27" t="s">
        <v>20</v>
      </c>
      <c r="K334" s="55" t="s">
        <v>27</v>
      </c>
      <c r="L334" s="56"/>
    </row>
    <row r="335" spans="1:12" ht="18" customHeight="1" x14ac:dyDescent="0.35">
      <c r="A335" s="3" t="s">
        <v>11</v>
      </c>
      <c r="B335" s="18" t="s">
        <v>674</v>
      </c>
      <c r="C335" s="2" t="s">
        <v>541</v>
      </c>
      <c r="D335" s="3" t="s">
        <v>683</v>
      </c>
      <c r="E335" s="36" t="s">
        <v>54</v>
      </c>
      <c r="F335" s="40" t="s">
        <v>16</v>
      </c>
      <c r="G335" s="33" t="s">
        <v>17</v>
      </c>
      <c r="H335" s="2" t="s">
        <v>675</v>
      </c>
      <c r="I335" s="35" t="s">
        <v>19</v>
      </c>
      <c r="J335" s="27" t="s">
        <v>20</v>
      </c>
      <c r="K335" s="55" t="s">
        <v>27</v>
      </c>
      <c r="L335" s="56"/>
    </row>
    <row r="336" spans="1:12" ht="18" customHeight="1" x14ac:dyDescent="0.35">
      <c r="A336" s="3" t="s">
        <v>11</v>
      </c>
      <c r="B336" s="18" t="s">
        <v>674</v>
      </c>
      <c r="C336" s="2" t="s">
        <v>541</v>
      </c>
      <c r="D336" s="3" t="s">
        <v>679</v>
      </c>
      <c r="E336" s="38" t="s">
        <v>31</v>
      </c>
      <c r="F336" s="41" t="s">
        <v>32</v>
      </c>
      <c r="G336" s="24" t="s">
        <v>33</v>
      </c>
      <c r="H336" s="2" t="s">
        <v>675</v>
      </c>
      <c r="I336" s="35" t="s">
        <v>19</v>
      </c>
      <c r="J336" s="27" t="s">
        <v>677</v>
      </c>
      <c r="K336" s="57" t="s">
        <v>680</v>
      </c>
      <c r="L336" s="56"/>
    </row>
    <row r="337" spans="1:12" ht="18" customHeight="1" x14ac:dyDescent="0.35">
      <c r="A337" s="3" t="s">
        <v>11</v>
      </c>
      <c r="B337" s="18" t="s">
        <v>674</v>
      </c>
      <c r="C337" s="2" t="s">
        <v>91</v>
      </c>
      <c r="D337" s="3" t="s">
        <v>681</v>
      </c>
      <c r="E337" s="3" t="s">
        <v>15</v>
      </c>
      <c r="F337" s="33" t="s">
        <v>38</v>
      </c>
      <c r="G337" s="33" t="s">
        <v>39</v>
      </c>
      <c r="H337" s="2" t="s">
        <v>675</v>
      </c>
      <c r="I337" s="35" t="s">
        <v>19</v>
      </c>
      <c r="J337" s="28" t="s">
        <v>20</v>
      </c>
      <c r="K337" s="55"/>
      <c r="L337" s="56"/>
    </row>
    <row r="338" spans="1:12" ht="18" customHeight="1" x14ac:dyDescent="0.35">
      <c r="A338" s="3" t="s">
        <v>11</v>
      </c>
      <c r="B338" s="32" t="s">
        <v>695</v>
      </c>
      <c r="C338" s="2" t="s">
        <v>684</v>
      </c>
      <c r="D338" s="3" t="s">
        <v>685</v>
      </c>
      <c r="E338" s="3" t="s">
        <v>44</v>
      </c>
      <c r="F338" s="14" t="s">
        <v>32</v>
      </c>
      <c r="G338" s="22" t="s">
        <v>33</v>
      </c>
      <c r="H338" s="34" t="s">
        <v>621</v>
      </c>
      <c r="I338" s="26" t="s">
        <v>112</v>
      </c>
      <c r="J338" s="28" t="s">
        <v>676</v>
      </c>
      <c r="K338" s="60"/>
      <c r="L338" s="56"/>
    </row>
    <row r="339" spans="1:12" ht="18" customHeight="1" x14ac:dyDescent="0.35">
      <c r="A339" s="3" t="s">
        <v>11</v>
      </c>
      <c r="B339" s="32" t="s">
        <v>695</v>
      </c>
      <c r="C339" s="2" t="s">
        <v>684</v>
      </c>
      <c r="D339" s="32" t="s">
        <v>686</v>
      </c>
      <c r="E339" s="3" t="s">
        <v>31</v>
      </c>
      <c r="F339" s="14" t="s">
        <v>32</v>
      </c>
      <c r="G339" s="22" t="s">
        <v>33</v>
      </c>
      <c r="H339" s="34" t="s">
        <v>621</v>
      </c>
      <c r="I339" s="26" t="s">
        <v>112</v>
      </c>
      <c r="J339" s="28" t="s">
        <v>677</v>
      </c>
      <c r="K339" s="57"/>
      <c r="L339" s="56"/>
    </row>
    <row r="340" spans="1:12" ht="18" customHeight="1" x14ac:dyDescent="0.35">
      <c r="A340" s="3" t="s">
        <v>11</v>
      </c>
      <c r="B340" s="32" t="s">
        <v>695</v>
      </c>
      <c r="C340" s="2" t="s">
        <v>684</v>
      </c>
      <c r="D340" s="32" t="s">
        <v>687</v>
      </c>
      <c r="E340" s="3" t="s">
        <v>31</v>
      </c>
      <c r="F340" s="14" t="s">
        <v>32</v>
      </c>
      <c r="G340" s="22" t="s">
        <v>33</v>
      </c>
      <c r="H340" s="34" t="s">
        <v>621</v>
      </c>
      <c r="I340" s="26" t="s">
        <v>112</v>
      </c>
      <c r="J340" s="28" t="s">
        <v>678</v>
      </c>
      <c r="K340" s="53"/>
      <c r="L340" s="54"/>
    </row>
    <row r="341" spans="1:12" x14ac:dyDescent="0.35">
      <c r="A341" s="3" t="s">
        <v>11</v>
      </c>
      <c r="B341" s="32" t="s">
        <v>695</v>
      </c>
      <c r="C341" s="2" t="s">
        <v>684</v>
      </c>
      <c r="D341" s="32" t="s">
        <v>688</v>
      </c>
      <c r="E341" s="32" t="s">
        <v>171</v>
      </c>
      <c r="F341" s="14" t="s">
        <v>32</v>
      </c>
      <c r="G341" s="22" t="s">
        <v>33</v>
      </c>
      <c r="H341" s="34" t="s">
        <v>621</v>
      </c>
      <c r="I341" s="26" t="s">
        <v>112</v>
      </c>
    </row>
    <row r="342" spans="1:12" ht="18" customHeight="1" x14ac:dyDescent="0.35">
      <c r="A342" s="3" t="s">
        <v>11</v>
      </c>
      <c r="B342" s="32" t="s">
        <v>695</v>
      </c>
      <c r="C342" s="2" t="s">
        <v>689</v>
      </c>
      <c r="D342" s="3" t="s">
        <v>696</v>
      </c>
      <c r="E342" s="46" t="s">
        <v>31</v>
      </c>
      <c r="F342" s="41" t="s">
        <v>32</v>
      </c>
      <c r="G342" s="45" t="s">
        <v>33</v>
      </c>
      <c r="H342" s="34" t="s">
        <v>621</v>
      </c>
      <c r="I342" s="26" t="s">
        <v>112</v>
      </c>
    </row>
    <row r="343" spans="1:12" ht="21.75" customHeight="1" x14ac:dyDescent="0.35">
      <c r="A343" s="3" t="s">
        <v>11</v>
      </c>
      <c r="B343" s="32" t="s">
        <v>695</v>
      </c>
      <c r="C343" s="2" t="s">
        <v>689</v>
      </c>
      <c r="D343" s="3" t="s">
        <v>697</v>
      </c>
      <c r="E343" s="47" t="s">
        <v>31</v>
      </c>
      <c r="F343" s="14" t="s">
        <v>32</v>
      </c>
      <c r="G343" s="19" t="s">
        <v>33</v>
      </c>
      <c r="H343" s="34" t="s">
        <v>621</v>
      </c>
      <c r="I343" s="26" t="s">
        <v>112</v>
      </c>
    </row>
    <row r="344" spans="1:12" ht="18" customHeight="1" x14ac:dyDescent="0.35">
      <c r="A344" s="3" t="s">
        <v>11</v>
      </c>
      <c r="B344" s="32" t="s">
        <v>695</v>
      </c>
      <c r="C344" s="2" t="s">
        <v>689</v>
      </c>
      <c r="D344" s="42" t="s">
        <v>690</v>
      </c>
      <c r="E344" s="2" t="s">
        <v>44</v>
      </c>
      <c r="F344" s="14" t="s">
        <v>32</v>
      </c>
      <c r="G344" s="19" t="s">
        <v>33</v>
      </c>
      <c r="H344" s="34" t="s">
        <v>621</v>
      </c>
      <c r="I344" s="26" t="s">
        <v>112</v>
      </c>
    </row>
    <row r="345" spans="1:12" ht="18" customHeight="1" x14ac:dyDescent="0.35">
      <c r="A345" s="3" t="s">
        <v>11</v>
      </c>
      <c r="B345" s="32" t="s">
        <v>695</v>
      </c>
      <c r="C345" s="2" t="s">
        <v>691</v>
      </c>
      <c r="D345" s="3" t="s">
        <v>692</v>
      </c>
      <c r="E345" s="2" t="s">
        <v>44</v>
      </c>
      <c r="F345" s="14" t="s">
        <v>32</v>
      </c>
      <c r="G345" s="19" t="s">
        <v>33</v>
      </c>
      <c r="H345" s="34" t="s">
        <v>621</v>
      </c>
      <c r="I345" s="26" t="s">
        <v>112</v>
      </c>
    </row>
    <row r="346" spans="1:12" ht="18" customHeight="1" x14ac:dyDescent="0.35">
      <c r="A346" s="3" t="s">
        <v>11</v>
      </c>
      <c r="B346" s="32" t="s">
        <v>695</v>
      </c>
      <c r="C346" s="2" t="s">
        <v>691</v>
      </c>
      <c r="D346" s="3" t="s">
        <v>693</v>
      </c>
      <c r="E346" s="2" t="s">
        <v>44</v>
      </c>
      <c r="F346" s="14" t="s">
        <v>32</v>
      </c>
      <c r="G346" s="19" t="s">
        <v>33</v>
      </c>
      <c r="H346" s="34" t="s">
        <v>621</v>
      </c>
      <c r="I346" s="26" t="s">
        <v>112</v>
      </c>
    </row>
    <row r="347" spans="1:12" ht="20.25" customHeight="1" x14ac:dyDescent="0.35">
      <c r="A347" s="3" t="s">
        <v>11</v>
      </c>
      <c r="B347" s="32" t="s">
        <v>695</v>
      </c>
      <c r="C347" s="2" t="s">
        <v>691</v>
      </c>
      <c r="D347" s="3" t="s">
        <v>698</v>
      </c>
      <c r="E347" s="2" t="s">
        <v>15</v>
      </c>
      <c r="F347" s="43" t="s">
        <v>38</v>
      </c>
      <c r="G347" s="3" t="s">
        <v>39</v>
      </c>
      <c r="H347" s="34" t="s">
        <v>621</v>
      </c>
      <c r="I347" s="26" t="s">
        <v>112</v>
      </c>
    </row>
    <row r="348" spans="1:12" ht="22.5" customHeight="1" x14ac:dyDescent="0.35">
      <c r="A348" s="3" t="s">
        <v>11</v>
      </c>
      <c r="B348" s="32" t="s">
        <v>695</v>
      </c>
      <c r="C348" s="2" t="s">
        <v>691</v>
      </c>
      <c r="D348" s="3" t="s">
        <v>694</v>
      </c>
      <c r="E348" s="2" t="s">
        <v>31</v>
      </c>
      <c r="F348" s="14" t="s">
        <v>32</v>
      </c>
      <c r="G348" s="21" t="s">
        <v>33</v>
      </c>
      <c r="H348" s="34" t="s">
        <v>621</v>
      </c>
      <c r="I348" s="26" t="s">
        <v>112</v>
      </c>
    </row>
    <row r="349" spans="1:12" ht="18" customHeight="1" x14ac:dyDescent="0.35">
      <c r="A349" s="3" t="s">
        <v>11</v>
      </c>
      <c r="B349" s="32" t="s">
        <v>699</v>
      </c>
      <c r="C349" s="2" t="s">
        <v>700</v>
      </c>
      <c r="D349" s="3" t="s">
        <v>701</v>
      </c>
      <c r="E349" s="2" t="s">
        <v>31</v>
      </c>
      <c r="F349" s="14" t="s">
        <v>32</v>
      </c>
      <c r="G349" s="21" t="s">
        <v>33</v>
      </c>
      <c r="H349" s="34" t="s">
        <v>702</v>
      </c>
      <c r="I349" s="26" t="s">
        <v>307</v>
      </c>
    </row>
    <row r="350" spans="1:12" ht="18" customHeight="1" x14ac:dyDescent="0.35">
      <c r="A350" s="3" t="s">
        <v>11</v>
      </c>
      <c r="B350" s="32" t="s">
        <v>699</v>
      </c>
      <c r="C350" s="2" t="s">
        <v>700</v>
      </c>
      <c r="D350" s="3" t="s">
        <v>703</v>
      </c>
      <c r="E350" s="2" t="s">
        <v>31</v>
      </c>
      <c r="F350" s="14" t="s">
        <v>32</v>
      </c>
      <c r="G350" s="21" t="s">
        <v>33</v>
      </c>
      <c r="H350" s="34" t="s">
        <v>702</v>
      </c>
      <c r="I350" s="26" t="s">
        <v>307</v>
      </c>
    </row>
    <row r="351" spans="1:12" ht="18" customHeight="1" x14ac:dyDescent="0.35">
      <c r="A351" s="3" t="s">
        <v>11</v>
      </c>
      <c r="B351" s="32" t="s">
        <v>699</v>
      </c>
      <c r="C351" s="2" t="s">
        <v>704</v>
      </c>
      <c r="D351" s="3" t="s">
        <v>705</v>
      </c>
      <c r="E351" s="2" t="s">
        <v>31</v>
      </c>
      <c r="F351" s="14" t="s">
        <v>32</v>
      </c>
      <c r="G351" s="21" t="s">
        <v>33</v>
      </c>
      <c r="H351" s="34" t="s">
        <v>702</v>
      </c>
      <c r="I351" s="26" t="s">
        <v>307</v>
      </c>
    </row>
    <row r="352" spans="1:12" ht="18" customHeight="1" x14ac:dyDescent="0.35">
      <c r="A352" s="3" t="s">
        <v>11</v>
      </c>
      <c r="B352" s="32" t="s">
        <v>699</v>
      </c>
      <c r="C352" s="2" t="s">
        <v>704</v>
      </c>
      <c r="D352" s="3" t="s">
        <v>706</v>
      </c>
      <c r="E352" s="2" t="s">
        <v>31</v>
      </c>
      <c r="F352" s="14" t="s">
        <v>32</v>
      </c>
      <c r="G352" s="21" t="s">
        <v>33</v>
      </c>
      <c r="H352" s="34" t="s">
        <v>702</v>
      </c>
      <c r="I352" s="26" t="s">
        <v>307</v>
      </c>
    </row>
    <row r="353" spans="1:9" ht="18" customHeight="1" x14ac:dyDescent="0.35">
      <c r="A353" s="3" t="s">
        <v>11</v>
      </c>
      <c r="B353" s="32" t="s">
        <v>699</v>
      </c>
      <c r="C353" s="2" t="s">
        <v>77</v>
      </c>
      <c r="D353" s="3" t="s">
        <v>707</v>
      </c>
      <c r="E353" s="2" t="s">
        <v>31</v>
      </c>
      <c r="F353" s="14" t="s">
        <v>32</v>
      </c>
      <c r="G353" s="21" t="s">
        <v>33</v>
      </c>
      <c r="H353" s="34" t="s">
        <v>702</v>
      </c>
      <c r="I353" s="26" t="s">
        <v>307</v>
      </c>
    </row>
    <row r="354" spans="1:9" ht="18" customHeight="1" x14ac:dyDescent="0.35">
      <c r="A354" s="3" t="s">
        <v>11</v>
      </c>
      <c r="B354" s="32" t="s">
        <v>708</v>
      </c>
      <c r="C354" s="2" t="s">
        <v>66</v>
      </c>
      <c r="D354" s="46" t="s">
        <v>709</v>
      </c>
      <c r="E354" s="38" t="s">
        <v>31</v>
      </c>
      <c r="F354" s="14" t="s">
        <v>32</v>
      </c>
      <c r="G354" s="38" t="s">
        <v>33</v>
      </c>
      <c r="H354" s="34" t="s">
        <v>710</v>
      </c>
      <c r="I354" s="26" t="s">
        <v>19</v>
      </c>
    </row>
    <row r="355" spans="1:9" ht="18" customHeight="1" x14ac:dyDescent="0.35">
      <c r="A355" s="3" t="s">
        <v>11</v>
      </c>
      <c r="B355" s="32" t="s">
        <v>708</v>
      </c>
      <c r="C355" s="2" t="s">
        <v>66</v>
      </c>
      <c r="D355" s="46" t="s">
        <v>711</v>
      </c>
      <c r="E355" s="38" t="s">
        <v>31</v>
      </c>
      <c r="F355" s="14" t="s">
        <v>32</v>
      </c>
      <c r="G355" s="38" t="s">
        <v>33</v>
      </c>
      <c r="H355" s="34" t="s">
        <v>710</v>
      </c>
      <c r="I355" s="26" t="s">
        <v>19</v>
      </c>
    </row>
    <row r="356" spans="1:9" ht="18" customHeight="1" x14ac:dyDescent="0.35">
      <c r="A356" s="3" t="s">
        <v>11</v>
      </c>
      <c r="B356" s="32" t="s">
        <v>708</v>
      </c>
      <c r="C356" s="2" t="s">
        <v>77</v>
      </c>
      <c r="D356" s="3" t="s">
        <v>712</v>
      </c>
      <c r="E356" s="38" t="s">
        <v>15</v>
      </c>
      <c r="F356" s="14" t="s">
        <v>16</v>
      </c>
      <c r="G356" s="38" t="s">
        <v>17</v>
      </c>
      <c r="H356" s="34" t="s">
        <v>710</v>
      </c>
      <c r="I356" s="26" t="s">
        <v>19</v>
      </c>
    </row>
    <row r="357" spans="1:9" ht="18" customHeight="1" x14ac:dyDescent="0.35">
      <c r="A357" s="3" t="s">
        <v>11</v>
      </c>
      <c r="B357" s="32" t="s">
        <v>708</v>
      </c>
      <c r="C357" s="2" t="s">
        <v>77</v>
      </c>
      <c r="D357" s="3" t="s">
        <v>713</v>
      </c>
      <c r="E357" s="38" t="s">
        <v>31</v>
      </c>
      <c r="F357" s="14" t="s">
        <v>32</v>
      </c>
      <c r="G357" s="50" t="s">
        <v>33</v>
      </c>
      <c r="H357" s="34" t="s">
        <v>710</v>
      </c>
      <c r="I357" s="26" t="s">
        <v>19</v>
      </c>
    </row>
    <row r="358" spans="1:9" ht="18" customHeight="1" x14ac:dyDescent="0.35">
      <c r="A358" s="3" t="s">
        <v>11</v>
      </c>
      <c r="B358" s="32" t="s">
        <v>708</v>
      </c>
      <c r="C358" s="2" t="s">
        <v>47</v>
      </c>
      <c r="D358" s="3" t="s">
        <v>714</v>
      </c>
      <c r="E358" s="38" t="s">
        <v>31</v>
      </c>
      <c r="F358" s="14" t="s">
        <v>32</v>
      </c>
      <c r="G358" s="50" t="s">
        <v>33</v>
      </c>
      <c r="H358" s="34" t="s">
        <v>710</v>
      </c>
      <c r="I358" s="26" t="s">
        <v>19</v>
      </c>
    </row>
    <row r="359" spans="1:9" ht="18" customHeight="1" x14ac:dyDescent="0.35">
      <c r="A359" s="3" t="s">
        <v>11</v>
      </c>
      <c r="B359" s="32" t="s">
        <v>708</v>
      </c>
      <c r="C359" s="2" t="s">
        <v>47</v>
      </c>
      <c r="D359" s="37" t="s">
        <v>715</v>
      </c>
      <c r="E359" s="38" t="s">
        <v>31</v>
      </c>
      <c r="F359" s="14" t="s">
        <v>32</v>
      </c>
      <c r="G359" s="50" t="s">
        <v>33</v>
      </c>
      <c r="H359" s="34" t="s">
        <v>710</v>
      </c>
      <c r="I359" s="26" t="s">
        <v>19</v>
      </c>
    </row>
    <row r="360" spans="1:9" ht="18" customHeight="1" x14ac:dyDescent="0.35">
      <c r="A360" s="3" t="s">
        <v>11</v>
      </c>
      <c r="B360" s="32" t="s">
        <v>716</v>
      </c>
      <c r="C360" s="2" t="s">
        <v>77</v>
      </c>
      <c r="D360" s="29" t="s">
        <v>717</v>
      </c>
      <c r="E360" s="29" t="s">
        <v>44</v>
      </c>
      <c r="F360" s="14" t="s">
        <v>32</v>
      </c>
      <c r="G360" s="51" t="s">
        <v>33</v>
      </c>
      <c r="H360" s="34" t="s">
        <v>718</v>
      </c>
      <c r="I360" s="26" t="s">
        <v>19</v>
      </c>
    </row>
    <row r="361" spans="1:9" ht="18" customHeight="1" x14ac:dyDescent="0.35">
      <c r="A361" s="3" t="s">
        <v>11</v>
      </c>
      <c r="B361" s="32" t="s">
        <v>716</v>
      </c>
      <c r="C361" s="2" t="s">
        <v>41</v>
      </c>
      <c r="D361" s="29" t="s">
        <v>739</v>
      </c>
      <c r="E361" s="29" t="s">
        <v>31</v>
      </c>
      <c r="F361" s="14" t="s">
        <v>32</v>
      </c>
      <c r="G361" s="33" t="s">
        <v>33</v>
      </c>
      <c r="H361" s="34" t="s">
        <v>718</v>
      </c>
      <c r="I361" s="26" t="s">
        <v>19</v>
      </c>
    </row>
    <row r="362" spans="1:9" ht="18" customHeight="1" x14ac:dyDescent="0.35">
      <c r="A362" s="3" t="s">
        <v>11</v>
      </c>
      <c r="B362" s="32" t="s">
        <v>716</v>
      </c>
      <c r="C362" s="2" t="s">
        <v>719</v>
      </c>
      <c r="D362" s="38" t="s">
        <v>720</v>
      </c>
      <c r="E362" s="36" t="s">
        <v>54</v>
      </c>
      <c r="F362" s="14" t="s">
        <v>16</v>
      </c>
      <c r="G362" s="41" t="s">
        <v>17</v>
      </c>
      <c r="H362" s="34" t="s">
        <v>718</v>
      </c>
      <c r="I362" s="26" t="s">
        <v>19</v>
      </c>
    </row>
    <row r="363" spans="1:9" ht="18" customHeight="1" x14ac:dyDescent="0.35">
      <c r="A363" s="3" t="s">
        <v>11</v>
      </c>
      <c r="B363" s="32" t="s">
        <v>716</v>
      </c>
      <c r="C363" s="2" t="s">
        <v>719</v>
      </c>
      <c r="D363" s="38" t="s">
        <v>721</v>
      </c>
      <c r="E363" s="38" t="s">
        <v>31</v>
      </c>
      <c r="F363" s="14" t="s">
        <v>32</v>
      </c>
      <c r="G363" s="49" t="s">
        <v>33</v>
      </c>
      <c r="H363" s="34" t="s">
        <v>718</v>
      </c>
      <c r="I363" s="26" t="s">
        <v>19</v>
      </c>
    </row>
    <row r="364" spans="1:9" ht="18" customHeight="1" x14ac:dyDescent="0.35">
      <c r="A364" s="3" t="s">
        <v>11</v>
      </c>
      <c r="B364" s="32" t="s">
        <v>722</v>
      </c>
      <c r="C364" s="2" t="s">
        <v>723</v>
      </c>
      <c r="D364" s="3" t="s">
        <v>724</v>
      </c>
      <c r="E364" s="3" t="s">
        <v>31</v>
      </c>
      <c r="F364" s="14" t="s">
        <v>32</v>
      </c>
      <c r="G364" s="24" t="s">
        <v>33</v>
      </c>
      <c r="H364" s="34" t="s">
        <v>725</v>
      </c>
      <c r="I364" s="26" t="s">
        <v>19</v>
      </c>
    </row>
    <row r="365" spans="1:9" x14ac:dyDescent="0.35">
      <c r="A365" s="3" t="s">
        <v>11</v>
      </c>
      <c r="B365" s="32" t="s">
        <v>722</v>
      </c>
      <c r="C365" s="2" t="s">
        <v>723</v>
      </c>
      <c r="D365" s="3" t="s">
        <v>726</v>
      </c>
      <c r="E365" s="24" t="s">
        <v>195</v>
      </c>
      <c r="F365" s="14" t="s">
        <v>38</v>
      </c>
      <c r="G365" s="4" t="s">
        <v>196</v>
      </c>
      <c r="H365" s="34" t="s">
        <v>725</v>
      </c>
      <c r="I365" s="26" t="s">
        <v>19</v>
      </c>
    </row>
    <row r="366" spans="1:9" ht="18" customHeight="1" x14ac:dyDescent="0.35">
      <c r="A366" s="3" t="s">
        <v>11</v>
      </c>
      <c r="B366" s="32" t="s">
        <v>722</v>
      </c>
      <c r="C366" s="2" t="s">
        <v>727</v>
      </c>
      <c r="D366" s="44" t="s">
        <v>728</v>
      </c>
      <c r="E366" s="24" t="s">
        <v>195</v>
      </c>
      <c r="F366" s="14" t="s">
        <v>38</v>
      </c>
      <c r="G366" s="4" t="s">
        <v>196</v>
      </c>
      <c r="H366" s="34" t="s">
        <v>725</v>
      </c>
      <c r="I366" s="26" t="s">
        <v>19</v>
      </c>
    </row>
    <row r="367" spans="1:9" ht="18" customHeight="1" x14ac:dyDescent="0.35">
      <c r="A367" s="3" t="s">
        <v>11</v>
      </c>
      <c r="B367" s="32" t="s">
        <v>722</v>
      </c>
      <c r="C367" s="2" t="s">
        <v>727</v>
      </c>
      <c r="D367" s="31" t="s">
        <v>729</v>
      </c>
      <c r="E367" s="38" t="s">
        <v>31</v>
      </c>
      <c r="F367" s="14" t="s">
        <v>32</v>
      </c>
      <c r="G367" s="38" t="s">
        <v>33</v>
      </c>
      <c r="H367" s="34" t="s">
        <v>725</v>
      </c>
      <c r="I367" s="26" t="s">
        <v>19</v>
      </c>
    </row>
    <row r="368" spans="1:9" ht="18" customHeight="1" x14ac:dyDescent="0.35">
      <c r="A368" s="3" t="s">
        <v>11</v>
      </c>
      <c r="B368" s="32" t="s">
        <v>722</v>
      </c>
      <c r="C368" s="2" t="s">
        <v>77</v>
      </c>
      <c r="D368" s="38" t="s">
        <v>730</v>
      </c>
      <c r="E368" s="38" t="s">
        <v>31</v>
      </c>
      <c r="F368" s="14" t="s">
        <v>32</v>
      </c>
      <c r="G368" s="38" t="s">
        <v>33</v>
      </c>
      <c r="H368" s="34" t="s">
        <v>725</v>
      </c>
      <c r="I368" s="26" t="s">
        <v>19</v>
      </c>
    </row>
    <row r="369" spans="1:9" ht="18" customHeight="1" x14ac:dyDescent="0.35">
      <c r="A369" s="3" t="s">
        <v>11</v>
      </c>
      <c r="B369" s="32" t="s">
        <v>731</v>
      </c>
      <c r="C369" s="2" t="s">
        <v>180</v>
      </c>
      <c r="D369" s="3" t="s">
        <v>741</v>
      </c>
      <c r="E369" s="38" t="s">
        <v>44</v>
      </c>
      <c r="F369" s="14" t="s">
        <v>32</v>
      </c>
      <c r="G369" s="38" t="s">
        <v>33</v>
      </c>
      <c r="H369" s="34" t="s">
        <v>732</v>
      </c>
      <c r="I369" s="26" t="s">
        <v>19</v>
      </c>
    </row>
    <row r="370" spans="1:9" ht="18" customHeight="1" x14ac:dyDescent="0.35">
      <c r="A370" s="3" t="s">
        <v>11</v>
      </c>
      <c r="B370" s="32" t="s">
        <v>731</v>
      </c>
      <c r="C370" s="2" t="s">
        <v>180</v>
      </c>
      <c r="D370" s="32" t="s">
        <v>733</v>
      </c>
      <c r="E370" s="38" t="s">
        <v>31</v>
      </c>
      <c r="F370" s="14" t="s">
        <v>32</v>
      </c>
      <c r="G370" s="38" t="s">
        <v>33</v>
      </c>
      <c r="H370" s="34" t="s">
        <v>732</v>
      </c>
      <c r="I370" s="26" t="s">
        <v>19</v>
      </c>
    </row>
    <row r="371" spans="1:9" ht="18" customHeight="1" x14ac:dyDescent="0.35">
      <c r="A371" s="3" t="s">
        <v>11</v>
      </c>
      <c r="B371" s="32" t="s">
        <v>731</v>
      </c>
      <c r="C371" s="2" t="s">
        <v>734</v>
      </c>
      <c r="D371" s="3" t="s">
        <v>740</v>
      </c>
      <c r="E371" s="38" t="s">
        <v>31</v>
      </c>
      <c r="F371" s="14" t="s">
        <v>32</v>
      </c>
      <c r="G371" s="38" t="s">
        <v>33</v>
      </c>
      <c r="H371" s="34" t="s">
        <v>732</v>
      </c>
      <c r="I371" s="26" t="s">
        <v>19</v>
      </c>
    </row>
    <row r="372" spans="1:9" ht="18" customHeight="1" x14ac:dyDescent="0.35">
      <c r="A372" s="3" t="s">
        <v>11</v>
      </c>
      <c r="B372" s="32" t="s">
        <v>731</v>
      </c>
      <c r="C372" s="2" t="s">
        <v>734</v>
      </c>
      <c r="D372" s="38" t="s">
        <v>735</v>
      </c>
      <c r="E372" s="48" t="s">
        <v>148</v>
      </c>
      <c r="F372" s="39" t="s">
        <v>32</v>
      </c>
      <c r="G372" s="48" t="s">
        <v>33</v>
      </c>
      <c r="H372" s="34" t="s">
        <v>732</v>
      </c>
      <c r="I372" s="52" t="s">
        <v>19</v>
      </c>
    </row>
    <row r="373" spans="1:9" ht="18" customHeight="1" x14ac:dyDescent="0.35">
      <c r="A373" s="3" t="s">
        <v>11</v>
      </c>
      <c r="B373" s="32" t="s">
        <v>731</v>
      </c>
      <c r="C373" s="2" t="s">
        <v>736</v>
      </c>
      <c r="D373" s="3" t="s">
        <v>737</v>
      </c>
      <c r="E373" s="3" t="s">
        <v>37</v>
      </c>
      <c r="F373" s="14" t="s">
        <v>38</v>
      </c>
      <c r="G373" s="3" t="s">
        <v>39</v>
      </c>
      <c r="H373" s="2" t="s">
        <v>732</v>
      </c>
      <c r="I373" s="26" t="s">
        <v>19</v>
      </c>
    </row>
    <row r="374" spans="1:9" ht="18" customHeight="1" x14ac:dyDescent="0.35">
      <c r="A374" s="3" t="s">
        <v>11</v>
      </c>
      <c r="B374" s="32" t="s">
        <v>731</v>
      </c>
      <c r="C374" s="2" t="s">
        <v>736</v>
      </c>
      <c r="D374" s="3" t="s">
        <v>738</v>
      </c>
      <c r="E374" s="3" t="s">
        <v>31</v>
      </c>
      <c r="F374" s="2" t="s">
        <v>32</v>
      </c>
      <c r="G374" s="3" t="s">
        <v>33</v>
      </c>
      <c r="H374" s="2" t="s">
        <v>732</v>
      </c>
      <c r="I374" s="26" t="s">
        <v>19</v>
      </c>
    </row>
    <row r="375" spans="1:9" ht="19.5" customHeight="1" x14ac:dyDescent="0.35">
      <c r="A375" s="3" t="s">
        <v>11</v>
      </c>
      <c r="B375" s="20" t="s">
        <v>742</v>
      </c>
      <c r="C375" s="2" t="s">
        <v>77</v>
      </c>
      <c r="D375" s="20" t="s">
        <v>743</v>
      </c>
      <c r="E375" s="3" t="s">
        <v>37</v>
      </c>
      <c r="F375" s="14" t="s">
        <v>38</v>
      </c>
      <c r="G375" s="3" t="s">
        <v>39</v>
      </c>
      <c r="H375" s="5" t="s">
        <v>744</v>
      </c>
      <c r="I375" s="26" t="s">
        <v>19</v>
      </c>
    </row>
    <row r="376" spans="1:9" x14ac:dyDescent="0.35">
      <c r="A376" s="3" t="s">
        <v>11</v>
      </c>
      <c r="B376" s="20" t="s">
        <v>742</v>
      </c>
      <c r="C376" s="2" t="s">
        <v>77</v>
      </c>
      <c r="D376" s="20" t="s">
        <v>745</v>
      </c>
      <c r="E376" s="3" t="s">
        <v>44</v>
      </c>
      <c r="F376" s="14" t="s">
        <v>32</v>
      </c>
      <c r="G376" s="33" t="s">
        <v>33</v>
      </c>
      <c r="H376" s="5" t="s">
        <v>744</v>
      </c>
      <c r="I376" s="26" t="s">
        <v>19</v>
      </c>
    </row>
    <row r="377" spans="1:9" ht="20.25" customHeight="1" x14ac:dyDescent="0.35">
      <c r="A377" s="3" t="s">
        <v>11</v>
      </c>
      <c r="B377" s="20" t="s">
        <v>742</v>
      </c>
      <c r="C377" s="2" t="s">
        <v>747</v>
      </c>
      <c r="D377" s="12" t="s">
        <v>746</v>
      </c>
      <c r="E377" s="3" t="s">
        <v>31</v>
      </c>
      <c r="F377" s="14" t="s">
        <v>32</v>
      </c>
      <c r="G377" s="3" t="s">
        <v>33</v>
      </c>
      <c r="H377" s="5" t="s">
        <v>744</v>
      </c>
      <c r="I377" s="26" t="s">
        <v>19</v>
      </c>
    </row>
    <row r="378" spans="1:9" ht="20.25" customHeight="1" x14ac:dyDescent="0.35">
      <c r="A378" s="3" t="s">
        <v>11</v>
      </c>
      <c r="B378" s="20" t="s">
        <v>742</v>
      </c>
      <c r="C378" s="2" t="s">
        <v>747</v>
      </c>
      <c r="D378" s="3" t="s">
        <v>748</v>
      </c>
      <c r="E378" s="3" t="s">
        <v>31</v>
      </c>
      <c r="F378" s="14" t="s">
        <v>32</v>
      </c>
      <c r="G378" s="3" t="s">
        <v>33</v>
      </c>
      <c r="H378" s="5" t="s">
        <v>744</v>
      </c>
      <c r="I378" s="26" t="s">
        <v>19</v>
      </c>
    </row>
    <row r="379" spans="1:9" x14ac:dyDescent="0.35">
      <c r="A379" s="3" t="s">
        <v>11</v>
      </c>
      <c r="B379" s="20" t="s">
        <v>742</v>
      </c>
      <c r="C379" s="2" t="s">
        <v>749</v>
      </c>
      <c r="D379" s="20" t="s">
        <v>750</v>
      </c>
      <c r="E379" s="3" t="s">
        <v>54</v>
      </c>
      <c r="F379" s="14" t="s">
        <v>16</v>
      </c>
      <c r="G379" s="33" t="s">
        <v>17</v>
      </c>
      <c r="H379" s="5" t="s">
        <v>744</v>
      </c>
      <c r="I379" s="26" t="s">
        <v>19</v>
      </c>
    </row>
    <row r="380" spans="1:9" ht="36" x14ac:dyDescent="0.35">
      <c r="A380" s="3" t="s">
        <v>11</v>
      </c>
      <c r="B380" s="20" t="s">
        <v>271</v>
      </c>
      <c r="C380" s="2" t="s">
        <v>180</v>
      </c>
      <c r="D380" s="20" t="s">
        <v>272</v>
      </c>
      <c r="E380" s="3" t="s">
        <v>31</v>
      </c>
      <c r="F380" s="14" t="s">
        <v>32</v>
      </c>
      <c r="G380" s="33" t="s">
        <v>33</v>
      </c>
      <c r="H380" s="5" t="s">
        <v>273</v>
      </c>
      <c r="I380" s="26" t="s">
        <v>19</v>
      </c>
    </row>
    <row r="381" spans="1:9" ht="36" x14ac:dyDescent="0.35">
      <c r="A381" s="3" t="s">
        <v>11</v>
      </c>
      <c r="B381" s="20" t="s">
        <v>271</v>
      </c>
      <c r="C381" s="2" t="s">
        <v>180</v>
      </c>
      <c r="D381" s="20" t="s">
        <v>275</v>
      </c>
      <c r="E381" s="3" t="s">
        <v>31</v>
      </c>
      <c r="F381" s="14" t="s">
        <v>32</v>
      </c>
      <c r="G381" s="33" t="s">
        <v>33</v>
      </c>
      <c r="H381" s="5" t="s">
        <v>273</v>
      </c>
      <c r="I381" s="26" t="s">
        <v>19</v>
      </c>
    </row>
    <row r="382" spans="1:9" ht="36" x14ac:dyDescent="0.35">
      <c r="A382" s="3" t="s">
        <v>11</v>
      </c>
      <c r="B382" s="20" t="s">
        <v>271</v>
      </c>
      <c r="C382" s="2" t="s">
        <v>180</v>
      </c>
      <c r="D382" s="20" t="s">
        <v>276</v>
      </c>
      <c r="E382" s="3" t="s">
        <v>31</v>
      </c>
      <c r="F382" s="14" t="s">
        <v>32</v>
      </c>
      <c r="G382" s="33" t="s">
        <v>33</v>
      </c>
      <c r="H382" s="5" t="s">
        <v>273</v>
      </c>
      <c r="I382" s="26" t="s">
        <v>19</v>
      </c>
    </row>
    <row r="383" spans="1:9" x14ac:dyDescent="0.35">
      <c r="A383" s="3" t="s">
        <v>11</v>
      </c>
      <c r="B383" s="20" t="s">
        <v>271</v>
      </c>
      <c r="C383" s="2" t="s">
        <v>250</v>
      </c>
      <c r="D383" s="20" t="s">
        <v>277</v>
      </c>
      <c r="E383" s="3" t="s">
        <v>44</v>
      </c>
      <c r="F383" s="14" t="s">
        <v>32</v>
      </c>
      <c r="G383" s="33" t="s">
        <v>33</v>
      </c>
      <c r="H383" s="5" t="s">
        <v>273</v>
      </c>
      <c r="I383" s="26" t="s">
        <v>19</v>
      </c>
    </row>
    <row r="384" spans="1:9" ht="36" x14ac:dyDescent="0.35">
      <c r="A384" s="3" t="s">
        <v>11</v>
      </c>
      <c r="B384" s="20" t="s">
        <v>271</v>
      </c>
      <c r="C384" s="2" t="s">
        <v>250</v>
      </c>
      <c r="D384" s="20" t="s">
        <v>278</v>
      </c>
      <c r="E384" s="3" t="s">
        <v>31</v>
      </c>
      <c r="F384" s="14" t="s">
        <v>32</v>
      </c>
      <c r="G384" s="33" t="s">
        <v>33</v>
      </c>
      <c r="H384" s="5" t="s">
        <v>273</v>
      </c>
      <c r="I384" s="26" t="s">
        <v>19</v>
      </c>
    </row>
    <row r="385" spans="1:9" ht="36" x14ac:dyDescent="0.35">
      <c r="A385" s="3" t="s">
        <v>11</v>
      </c>
      <c r="B385" s="20" t="s">
        <v>271</v>
      </c>
      <c r="C385" s="2" t="s">
        <v>250</v>
      </c>
      <c r="D385" s="20" t="s">
        <v>279</v>
      </c>
      <c r="E385" s="3" t="s">
        <v>31</v>
      </c>
      <c r="F385" s="14" t="s">
        <v>32</v>
      </c>
      <c r="G385" s="33" t="s">
        <v>33</v>
      </c>
      <c r="H385" s="5" t="s">
        <v>273</v>
      </c>
      <c r="I385" s="26" t="s">
        <v>19</v>
      </c>
    </row>
    <row r="386" spans="1:9" x14ac:dyDescent="0.35">
      <c r="A386" s="3" t="s">
        <v>11</v>
      </c>
      <c r="B386" s="20" t="s">
        <v>271</v>
      </c>
      <c r="C386" s="2" t="s">
        <v>87</v>
      </c>
      <c r="D386" s="20" t="s">
        <v>280</v>
      </c>
      <c r="E386" s="3" t="s">
        <v>195</v>
      </c>
      <c r="F386" s="14" t="s">
        <v>38</v>
      </c>
      <c r="G386" s="33" t="s">
        <v>196</v>
      </c>
      <c r="H386" s="5" t="s">
        <v>273</v>
      </c>
      <c r="I386" s="26" t="s">
        <v>19</v>
      </c>
    </row>
    <row r="387" spans="1:9" ht="21.75" customHeight="1" x14ac:dyDescent="0.35">
      <c r="A387" s="3" t="s">
        <v>11</v>
      </c>
      <c r="B387" s="20" t="s">
        <v>271</v>
      </c>
      <c r="C387" s="2" t="s">
        <v>87</v>
      </c>
      <c r="D387" s="20" t="s">
        <v>281</v>
      </c>
      <c r="E387" s="3" t="s">
        <v>31</v>
      </c>
      <c r="F387" s="14" t="s">
        <v>32</v>
      </c>
      <c r="G387" s="33" t="s">
        <v>33</v>
      </c>
      <c r="H387" s="5" t="s">
        <v>273</v>
      </c>
      <c r="I387" s="26" t="s">
        <v>19</v>
      </c>
    </row>
    <row r="388" spans="1:9" ht="21.75" customHeight="1" x14ac:dyDescent="0.35">
      <c r="A388" s="3" t="s">
        <v>11</v>
      </c>
      <c r="B388" s="20" t="s">
        <v>751</v>
      </c>
      <c r="C388" s="2" t="s">
        <v>754</v>
      </c>
      <c r="D388" s="20" t="s">
        <v>752</v>
      </c>
      <c r="E388" s="3" t="s">
        <v>31</v>
      </c>
      <c r="F388" s="14" t="s">
        <v>32</v>
      </c>
      <c r="G388" s="33" t="s">
        <v>33</v>
      </c>
      <c r="H388" s="5" t="s">
        <v>753</v>
      </c>
      <c r="I388" s="26" t="s">
        <v>19</v>
      </c>
    </row>
    <row r="389" spans="1:9" ht="21.75" customHeight="1" x14ac:dyDescent="0.35">
      <c r="A389" s="3" t="s">
        <v>11</v>
      </c>
      <c r="B389" s="20" t="s">
        <v>751</v>
      </c>
      <c r="C389" s="2" t="s">
        <v>754</v>
      </c>
      <c r="D389" s="20" t="s">
        <v>755</v>
      </c>
      <c r="E389" s="3" t="s">
        <v>44</v>
      </c>
      <c r="F389" s="14" t="s">
        <v>32</v>
      </c>
      <c r="G389" s="33" t="s">
        <v>33</v>
      </c>
      <c r="H389" s="5" t="s">
        <v>753</v>
      </c>
      <c r="I389" s="26" t="s">
        <v>19</v>
      </c>
    </row>
    <row r="390" spans="1:9" ht="21.75" customHeight="1" x14ac:dyDescent="0.35">
      <c r="A390" s="3" t="s">
        <v>11</v>
      </c>
      <c r="B390" s="20" t="s">
        <v>751</v>
      </c>
      <c r="C390" s="2" t="s">
        <v>97</v>
      </c>
      <c r="D390" s="20" t="s">
        <v>756</v>
      </c>
      <c r="E390" s="3" t="s">
        <v>31</v>
      </c>
      <c r="F390" s="14" t="s">
        <v>32</v>
      </c>
      <c r="G390" s="33" t="s">
        <v>33</v>
      </c>
      <c r="H390" s="5" t="s">
        <v>753</v>
      </c>
      <c r="I390" s="26" t="s">
        <v>19</v>
      </c>
    </row>
    <row r="391" spans="1:9" ht="21.75" customHeight="1" x14ac:dyDescent="0.35">
      <c r="A391" s="3" t="s">
        <v>11</v>
      </c>
      <c r="B391" s="20" t="s">
        <v>751</v>
      </c>
      <c r="C391" s="2" t="s">
        <v>87</v>
      </c>
      <c r="D391" s="20" t="s">
        <v>757</v>
      </c>
      <c r="E391" s="3" t="s">
        <v>37</v>
      </c>
      <c r="F391" s="14" t="s">
        <v>38</v>
      </c>
      <c r="G391" s="33" t="s">
        <v>39</v>
      </c>
      <c r="H391" s="5" t="s">
        <v>753</v>
      </c>
      <c r="I391" s="26" t="s">
        <v>19</v>
      </c>
    </row>
    <row r="392" spans="1:9" ht="21.75" customHeight="1" x14ac:dyDescent="0.35">
      <c r="A392" s="3" t="s">
        <v>11</v>
      </c>
      <c r="B392" s="20" t="s">
        <v>751</v>
      </c>
      <c r="C392" s="2" t="s">
        <v>87</v>
      </c>
      <c r="D392" s="20" t="s">
        <v>758</v>
      </c>
      <c r="E392" s="3" t="s">
        <v>31</v>
      </c>
      <c r="F392" s="14" t="s">
        <v>32</v>
      </c>
      <c r="G392" s="33" t="s">
        <v>33</v>
      </c>
      <c r="H392" s="5" t="s">
        <v>753</v>
      </c>
      <c r="I392" s="26" t="s">
        <v>19</v>
      </c>
    </row>
    <row r="393" spans="1:9" ht="36" x14ac:dyDescent="0.35">
      <c r="A393" s="3" t="s">
        <v>11</v>
      </c>
      <c r="B393" s="20" t="s">
        <v>271</v>
      </c>
      <c r="C393" s="2" t="s">
        <v>180</v>
      </c>
      <c r="D393" s="20" t="s">
        <v>272</v>
      </c>
      <c r="E393" s="3" t="s">
        <v>31</v>
      </c>
      <c r="F393" s="14" t="s">
        <v>32</v>
      </c>
      <c r="G393" s="33" t="s">
        <v>33</v>
      </c>
      <c r="H393" s="5" t="s">
        <v>273</v>
      </c>
      <c r="I393" s="26" t="s">
        <v>19</v>
      </c>
    </row>
    <row r="394" spans="1:9" ht="36" x14ac:dyDescent="0.35">
      <c r="A394" s="3" t="s">
        <v>11</v>
      </c>
      <c r="B394" s="20" t="s">
        <v>271</v>
      </c>
      <c r="C394" s="2" t="s">
        <v>180</v>
      </c>
      <c r="D394" s="20" t="s">
        <v>275</v>
      </c>
      <c r="E394" s="3" t="s">
        <v>31</v>
      </c>
      <c r="F394" s="14" t="s">
        <v>32</v>
      </c>
      <c r="G394" s="33" t="s">
        <v>33</v>
      </c>
      <c r="H394" s="5" t="s">
        <v>273</v>
      </c>
      <c r="I394" s="26" t="s">
        <v>19</v>
      </c>
    </row>
    <row r="395" spans="1:9" ht="36" x14ac:dyDescent="0.35">
      <c r="A395" s="3" t="s">
        <v>11</v>
      </c>
      <c r="B395" s="20" t="s">
        <v>271</v>
      </c>
      <c r="C395" s="2" t="s">
        <v>180</v>
      </c>
      <c r="D395" s="20" t="s">
        <v>276</v>
      </c>
      <c r="E395" s="3" t="s">
        <v>31</v>
      </c>
      <c r="F395" s="14" t="s">
        <v>32</v>
      </c>
      <c r="G395" s="33" t="s">
        <v>33</v>
      </c>
      <c r="H395" s="5" t="s">
        <v>273</v>
      </c>
      <c r="I395" s="26" t="s">
        <v>19</v>
      </c>
    </row>
    <row r="396" spans="1:9" x14ac:dyDescent="0.35">
      <c r="A396" s="3" t="s">
        <v>11</v>
      </c>
      <c r="B396" s="20" t="s">
        <v>271</v>
      </c>
      <c r="C396" s="2" t="s">
        <v>250</v>
      </c>
      <c r="D396" s="20" t="s">
        <v>277</v>
      </c>
      <c r="E396" s="3" t="s">
        <v>44</v>
      </c>
      <c r="F396" s="14" t="s">
        <v>32</v>
      </c>
      <c r="G396" s="33" t="s">
        <v>33</v>
      </c>
      <c r="H396" s="5" t="s">
        <v>273</v>
      </c>
      <c r="I396" s="26" t="s">
        <v>19</v>
      </c>
    </row>
    <row r="397" spans="1:9" ht="36" x14ac:dyDescent="0.35">
      <c r="A397" s="3" t="s">
        <v>11</v>
      </c>
      <c r="B397" s="20" t="s">
        <v>271</v>
      </c>
      <c r="C397" s="2" t="s">
        <v>250</v>
      </c>
      <c r="D397" s="20" t="s">
        <v>278</v>
      </c>
      <c r="E397" s="3" t="s">
        <v>31</v>
      </c>
      <c r="F397" s="14" t="s">
        <v>32</v>
      </c>
      <c r="G397" s="33" t="s">
        <v>33</v>
      </c>
      <c r="H397" s="5" t="s">
        <v>273</v>
      </c>
      <c r="I397" s="26" t="s">
        <v>19</v>
      </c>
    </row>
    <row r="398" spans="1:9" ht="36" x14ac:dyDescent="0.35">
      <c r="A398" s="3" t="s">
        <v>11</v>
      </c>
      <c r="B398" s="20" t="s">
        <v>271</v>
      </c>
      <c r="C398" s="2" t="s">
        <v>250</v>
      </c>
      <c r="D398" s="20" t="s">
        <v>279</v>
      </c>
      <c r="E398" s="3" t="s">
        <v>31</v>
      </c>
      <c r="F398" s="14" t="s">
        <v>32</v>
      </c>
      <c r="G398" s="33" t="s">
        <v>33</v>
      </c>
      <c r="H398" s="5" t="s">
        <v>273</v>
      </c>
      <c r="I398" s="26" t="s">
        <v>19</v>
      </c>
    </row>
    <row r="399" spans="1:9" x14ac:dyDescent="0.35">
      <c r="A399" s="3" t="s">
        <v>11</v>
      </c>
      <c r="B399" s="20" t="s">
        <v>271</v>
      </c>
      <c r="C399" s="2" t="s">
        <v>87</v>
      </c>
      <c r="D399" s="20" t="s">
        <v>280</v>
      </c>
      <c r="E399" s="3" t="s">
        <v>195</v>
      </c>
      <c r="F399" s="14" t="s">
        <v>38</v>
      </c>
      <c r="G399" s="33" t="s">
        <v>196</v>
      </c>
      <c r="H399" s="5" t="s">
        <v>273</v>
      </c>
      <c r="I399" s="26" t="s">
        <v>19</v>
      </c>
    </row>
    <row r="400" spans="1:9" ht="36" x14ac:dyDescent="0.35">
      <c r="A400" s="3" t="s">
        <v>11</v>
      </c>
      <c r="B400" s="20" t="s">
        <v>271</v>
      </c>
      <c r="C400" s="2" t="s">
        <v>87</v>
      </c>
      <c r="D400" s="20" t="s">
        <v>281</v>
      </c>
      <c r="E400" s="3" t="s">
        <v>31</v>
      </c>
      <c r="F400" s="14" t="s">
        <v>32</v>
      </c>
      <c r="G400" s="33" t="s">
        <v>33</v>
      </c>
      <c r="H400" s="5" t="s">
        <v>273</v>
      </c>
      <c r="I400" s="26" t="s">
        <v>19</v>
      </c>
    </row>
    <row r="401" spans="1:9" x14ac:dyDescent="0.35">
      <c r="A401" s="3" t="s">
        <v>11</v>
      </c>
      <c r="B401" s="20" t="s">
        <v>759</v>
      </c>
      <c r="C401" s="2" t="s">
        <v>91</v>
      </c>
      <c r="D401" s="20" t="s">
        <v>92</v>
      </c>
      <c r="E401" s="3" t="s">
        <v>37</v>
      </c>
      <c r="F401" s="14" t="s">
        <v>38</v>
      </c>
      <c r="G401" s="33" t="s">
        <v>39</v>
      </c>
      <c r="H401" s="5" t="s">
        <v>93</v>
      </c>
      <c r="I401" s="26" t="s">
        <v>19</v>
      </c>
    </row>
    <row r="402" spans="1:9" ht="36" x14ac:dyDescent="0.35">
      <c r="A402" s="3" t="s">
        <v>11</v>
      </c>
      <c r="B402" s="20" t="s">
        <v>759</v>
      </c>
      <c r="C402" s="2" t="s">
        <v>91</v>
      </c>
      <c r="D402" s="20" t="s">
        <v>99</v>
      </c>
      <c r="E402" s="3" t="s">
        <v>31</v>
      </c>
      <c r="F402" s="14" t="s">
        <v>32</v>
      </c>
      <c r="G402" s="33" t="s">
        <v>33</v>
      </c>
      <c r="H402" s="5" t="s">
        <v>93</v>
      </c>
      <c r="I402" s="26" t="s">
        <v>19</v>
      </c>
    </row>
    <row r="403" spans="1:9" x14ac:dyDescent="0.35">
      <c r="A403" s="3" t="s">
        <v>11</v>
      </c>
      <c r="B403" s="20" t="s">
        <v>759</v>
      </c>
      <c r="C403" s="2" t="s">
        <v>87</v>
      </c>
      <c r="D403" s="20" t="s">
        <v>103</v>
      </c>
      <c r="E403" s="3" t="s">
        <v>44</v>
      </c>
      <c r="F403" s="14" t="s">
        <v>32</v>
      </c>
      <c r="G403" s="33" t="s">
        <v>33</v>
      </c>
      <c r="H403" s="5" t="s">
        <v>93</v>
      </c>
      <c r="I403" s="26" t="s">
        <v>19</v>
      </c>
    </row>
    <row r="404" spans="1:9" ht="36" x14ac:dyDescent="0.35">
      <c r="A404" s="3" t="s">
        <v>11</v>
      </c>
      <c r="B404" s="20" t="s">
        <v>759</v>
      </c>
      <c r="C404" s="2" t="s">
        <v>87</v>
      </c>
      <c r="D404" s="20" t="s">
        <v>106</v>
      </c>
      <c r="E404" s="3" t="s">
        <v>31</v>
      </c>
      <c r="F404" s="14" t="s">
        <v>32</v>
      </c>
      <c r="G404" s="33" t="s">
        <v>33</v>
      </c>
      <c r="H404" s="5" t="s">
        <v>93</v>
      </c>
      <c r="I404" s="26" t="s">
        <v>19</v>
      </c>
    </row>
    <row r="405" spans="1:9" ht="36" x14ac:dyDescent="0.35">
      <c r="A405" s="3" t="s">
        <v>11</v>
      </c>
      <c r="B405" s="20" t="s">
        <v>759</v>
      </c>
      <c r="C405" s="2" t="s">
        <v>47</v>
      </c>
      <c r="D405" s="20" t="s">
        <v>107</v>
      </c>
      <c r="E405" s="3" t="s">
        <v>31</v>
      </c>
      <c r="F405" s="14" t="s">
        <v>32</v>
      </c>
      <c r="G405" s="33" t="s">
        <v>33</v>
      </c>
      <c r="H405" s="5" t="s">
        <v>93</v>
      </c>
      <c r="I405" s="26" t="s">
        <v>19</v>
      </c>
    </row>
    <row r="406" spans="1:9" x14ac:dyDescent="0.35">
      <c r="A406" s="3" t="s">
        <v>760</v>
      </c>
      <c r="B406" s="20" t="s">
        <v>761</v>
      </c>
      <c r="C406" s="2" t="s">
        <v>762</v>
      </c>
      <c r="D406" s="20" t="s">
        <v>763</v>
      </c>
      <c r="E406" s="3" t="s">
        <v>44</v>
      </c>
      <c r="F406" s="14" t="s">
        <v>32</v>
      </c>
      <c r="G406" s="33" t="s">
        <v>33</v>
      </c>
      <c r="H406" s="5" t="s">
        <v>764</v>
      </c>
      <c r="I406" s="26" t="s">
        <v>307</v>
      </c>
    </row>
    <row r="407" spans="1:9" ht="54" x14ac:dyDescent="0.35">
      <c r="A407" s="3" t="s">
        <v>760</v>
      </c>
      <c r="B407" s="20" t="s">
        <v>761</v>
      </c>
      <c r="C407" s="2" t="s">
        <v>765</v>
      </c>
      <c r="D407" s="20" t="s">
        <v>766</v>
      </c>
      <c r="E407" s="3" t="s">
        <v>44</v>
      </c>
      <c r="F407" s="14" t="s">
        <v>32</v>
      </c>
      <c r="G407" s="33" t="s">
        <v>33</v>
      </c>
      <c r="H407" s="5" t="s">
        <v>764</v>
      </c>
      <c r="I407" s="26" t="s">
        <v>307</v>
      </c>
    </row>
    <row r="408" spans="1:9" ht="54" x14ac:dyDescent="0.35">
      <c r="A408" s="3" t="s">
        <v>760</v>
      </c>
      <c r="B408" s="20" t="s">
        <v>761</v>
      </c>
      <c r="C408" s="2" t="s">
        <v>767</v>
      </c>
      <c r="D408" s="20" t="s">
        <v>768</v>
      </c>
      <c r="E408" s="3" t="s">
        <v>31</v>
      </c>
      <c r="F408" s="14" t="s">
        <v>16</v>
      </c>
      <c r="G408" s="33" t="s">
        <v>17</v>
      </c>
      <c r="H408" s="5" t="s">
        <v>764</v>
      </c>
      <c r="I408" s="26" t="s">
        <v>307</v>
      </c>
    </row>
    <row r="409" spans="1:9" ht="54" x14ac:dyDescent="0.35">
      <c r="A409" s="3" t="s">
        <v>760</v>
      </c>
      <c r="B409" s="20" t="s">
        <v>761</v>
      </c>
      <c r="C409" s="2" t="s">
        <v>769</v>
      </c>
      <c r="D409" s="20" t="s">
        <v>770</v>
      </c>
      <c r="E409" s="3" t="s">
        <v>31</v>
      </c>
      <c r="F409" s="14" t="s">
        <v>38</v>
      </c>
      <c r="G409" s="33" t="s">
        <v>196</v>
      </c>
      <c r="H409" s="5" t="s">
        <v>764</v>
      </c>
      <c r="I409" s="26" t="s">
        <v>307</v>
      </c>
    </row>
    <row r="410" spans="1:9" ht="54" x14ac:dyDescent="0.35">
      <c r="A410" s="3" t="s">
        <v>760</v>
      </c>
      <c r="B410" s="20" t="s">
        <v>771</v>
      </c>
      <c r="C410" s="2" t="s">
        <v>772</v>
      </c>
      <c r="D410" s="20" t="s">
        <v>773</v>
      </c>
      <c r="E410" s="3" t="s">
        <v>31</v>
      </c>
      <c r="F410" s="14" t="s">
        <v>16</v>
      </c>
      <c r="G410" s="33" t="s">
        <v>17</v>
      </c>
      <c r="H410" s="5" t="s">
        <v>774</v>
      </c>
      <c r="I410" s="26" t="s">
        <v>307</v>
      </c>
    </row>
    <row r="411" spans="1:9" ht="72" x14ac:dyDescent="0.35">
      <c r="A411" s="3" t="s">
        <v>760</v>
      </c>
      <c r="B411" s="20" t="s">
        <v>771</v>
      </c>
      <c r="C411" s="2" t="s">
        <v>47</v>
      </c>
      <c r="D411" s="20" t="s">
        <v>775</v>
      </c>
      <c r="E411" s="3" t="s">
        <v>44</v>
      </c>
      <c r="F411" s="14" t="s">
        <v>32</v>
      </c>
      <c r="G411" s="33" t="s">
        <v>33</v>
      </c>
      <c r="H411" s="5" t="s">
        <v>774</v>
      </c>
      <c r="I411" s="26" t="s">
        <v>307</v>
      </c>
    </row>
    <row r="412" spans="1:9" ht="36" x14ac:dyDescent="0.35">
      <c r="A412" s="3" t="s">
        <v>760</v>
      </c>
      <c r="B412" s="20" t="s">
        <v>771</v>
      </c>
      <c r="C412" s="2" t="s">
        <v>776</v>
      </c>
      <c r="D412" s="20" t="s">
        <v>777</v>
      </c>
      <c r="E412" s="3" t="s">
        <v>44</v>
      </c>
      <c r="F412" s="14" t="s">
        <v>32</v>
      </c>
      <c r="G412" s="33" t="s">
        <v>33</v>
      </c>
      <c r="H412" s="5" t="s">
        <v>774</v>
      </c>
      <c r="I412" s="26" t="s">
        <v>307</v>
      </c>
    </row>
    <row r="413" spans="1:9" x14ac:dyDescent="0.35">
      <c r="A413" s="3" t="s">
        <v>760</v>
      </c>
      <c r="B413" s="20" t="s">
        <v>771</v>
      </c>
      <c r="C413" s="2" t="s">
        <v>91</v>
      </c>
      <c r="D413" s="20" t="s">
        <v>778</v>
      </c>
      <c r="E413" s="3" t="s">
        <v>37</v>
      </c>
      <c r="F413" s="14" t="s">
        <v>38</v>
      </c>
      <c r="G413" s="33" t="s">
        <v>39</v>
      </c>
      <c r="H413" s="5" t="s">
        <v>774</v>
      </c>
      <c r="I413" s="26" t="s">
        <v>307</v>
      </c>
    </row>
  </sheetData>
  <mergeCells count="8">
    <mergeCell ref="K340:L340"/>
    <mergeCell ref="K335:L335"/>
    <mergeCell ref="K336:L336"/>
    <mergeCell ref="J2:K2"/>
    <mergeCell ref="K334:L334"/>
    <mergeCell ref="K337:L337"/>
    <mergeCell ref="K338:L338"/>
    <mergeCell ref="K339:L339"/>
  </mergeCells>
  <printOptions horizontalCentered="1" verticalCentered="1"/>
  <pageMargins left="0.31496062992125984" right="0.11811023622047245" top="0.55118110236220474" bottom="0.55118110236220474" header="0.31496062992125984" footer="0.31496062992125984"/>
  <pageSetup paperSize="9" scale="64"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a5b06ae-c424-42e0-9998-370f09f8b010" xsi:nil="true"/>
    <lcf76f155ced4ddcb4097134ff3c332f xmlns="880a6393-7c42-4912-baf8-33c6004b0c4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FF3A89CE29AAA64D92F359403111DA92" ma:contentTypeVersion="19" ma:contentTypeDescription="Crear nuevo documento." ma:contentTypeScope="" ma:versionID="abe18a56125dda2ce37b12ff7ec8bc41">
  <xsd:schema xmlns:xsd="http://www.w3.org/2001/XMLSchema" xmlns:xs="http://www.w3.org/2001/XMLSchema" xmlns:p="http://schemas.microsoft.com/office/2006/metadata/properties" xmlns:ns2="880a6393-7c42-4912-baf8-33c6004b0c47" xmlns:ns3="ba5b06ae-c424-42e0-9998-370f09f8b010" targetNamespace="http://schemas.microsoft.com/office/2006/metadata/properties" ma:root="true" ma:fieldsID="89529739408ac23b36ed0bed37a6a8f4" ns2:_="" ns3:_="">
    <xsd:import namespace="880a6393-7c42-4912-baf8-33c6004b0c47"/>
    <xsd:import namespace="ba5b06ae-c424-42e0-9998-370f09f8b010"/>
    <xsd:element name="properties">
      <xsd:complexType>
        <xsd:sequence>
          <xsd:element name="documentManagement">
            <xsd:complexType>
              <xsd:all>
                <xsd:element ref="ns2:MediaServiceMetadata" minOccurs="0"/>
                <xsd:element ref="ns2:MediaServiceFastMetadata" minOccurs="0"/>
                <xsd:element ref="ns2:MediaServiceDateTaken"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0a6393-7c42-4912-baf8-33c6004b0c4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Etiquetas de imagen" ma:readOnly="false" ma:fieldId="{5cf76f15-5ced-4ddc-b409-7134ff3c332f}" ma:taxonomyMulti="true" ma:sspId="c20ccec0-8823-4e46-b433-78d24de9a2c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5b06ae-c424-42e0-9998-370f09f8b010" elementFormDefault="qualified">
    <xsd:import namespace="http://schemas.microsoft.com/office/2006/documentManagement/types"/>
    <xsd:import namespace="http://schemas.microsoft.com/office/infopath/2007/PartnerControls"/>
    <xsd:element name="SharedWithUsers" ma:index="1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Detalles de uso compartido" ma:internalName="SharedWithDetails" ma:readOnly="true">
      <xsd:simpleType>
        <xsd:restriction base="dms:Note">
          <xsd:maxLength value="255"/>
        </xsd:restriction>
      </xsd:simpleType>
    </xsd:element>
    <xsd:element name="TaxCatchAll" ma:index="23" nillable="true" ma:displayName="Taxonomy Catch All Column" ma:hidden="true" ma:list="{6baf140b-2efc-4b57-b6ae-3e2defd634a5}" ma:internalName="TaxCatchAll" ma:showField="CatchAllData" ma:web="ba5b06ae-c424-42e0-9998-370f09f8b01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07F37B9-E591-410C-8989-A1764274EC4B}">
  <ds:schemaRefs>
    <ds:schemaRef ds:uri="http://schemas.microsoft.com/sharepoint/v3/contenttype/forms"/>
  </ds:schemaRefs>
</ds:datastoreItem>
</file>

<file path=customXml/itemProps2.xml><?xml version="1.0" encoding="utf-8"?>
<ds:datastoreItem xmlns:ds="http://schemas.openxmlformats.org/officeDocument/2006/customXml" ds:itemID="{1C46EAFD-AE09-40C9-BA60-F1D26727DDB5}">
  <ds:schemaRefs>
    <ds:schemaRef ds:uri="http://schemas.microsoft.com/office/2006/metadata/properties"/>
    <ds:schemaRef ds:uri="http://schemas.microsoft.com/office/infopath/2007/PartnerControls"/>
    <ds:schemaRef ds:uri="ba5b06ae-c424-42e0-9998-370f09f8b010"/>
    <ds:schemaRef ds:uri="880a6393-7c42-4912-baf8-33c6004b0c47"/>
  </ds:schemaRefs>
</ds:datastoreItem>
</file>

<file path=customXml/itemProps3.xml><?xml version="1.0" encoding="utf-8"?>
<ds:datastoreItem xmlns:ds="http://schemas.openxmlformats.org/officeDocument/2006/customXml" ds:itemID="{8D023453-13BD-4E42-96E8-93B95740366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0a6393-7c42-4912-baf8-33c6004b0c47"/>
    <ds:schemaRef ds:uri="ba5b06ae-c424-42e0-9998-370f09f8b01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PDI_CONSOLIDADOS</vt:lpstr>
      <vt:lpstr>PDI_CONSOLIDADOS!Área_de_impresión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Marielsy Pérez Savino</dc:creator>
  <cp:keywords/>
  <dc:description/>
  <cp:lastModifiedBy>Melissa Mimbela</cp:lastModifiedBy>
  <cp:revision/>
  <dcterms:created xsi:type="dcterms:W3CDTF">2025-05-07T15:52:58Z</dcterms:created>
  <dcterms:modified xsi:type="dcterms:W3CDTF">2026-01-22T02:30:58Z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0x010100FF3A89CE29AAA64D92F359403111DA92</vt:lpwstr>
  </property>
  <property fmtid="{D5CDD505-2E9C-101B-9397-08002B2CF9AE}" pid="3" name="MediaServiceImageTags">
    <vt:lpwstr/>
  </property>
</Properties>
</file>